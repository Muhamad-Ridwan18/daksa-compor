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dra\Documents\"/>
    </mc:Choice>
  </mc:AlternateContent>
  <xr:revisionPtr revIDLastSave="0" documentId="8_{F94F16F5-CE8B-4055-9CD5-3BD596BBA0A1}" xr6:coauthVersionLast="47" xr6:coauthVersionMax="47" xr10:uidLastSave="{00000000-0000-0000-0000-000000000000}"/>
  <bookViews>
    <workbookView xWindow="-110" yWindow="-110" windowWidth="29020" windowHeight="18220" tabRatio="706" xr2:uid="{00000000-000D-0000-FFFF-FFFF00000000}"/>
  </bookViews>
  <sheets>
    <sheet name="PTKP &amp; TARIF" sheetId="4" r:id="rId1"/>
    <sheet name="TER" sheetId="9" r:id="rId2"/>
    <sheet name="Data Gaji" sheetId="1" r:id="rId3"/>
    <sheet name="Jan-Nov" sheetId="15" r:id="rId4"/>
    <sheet name="Rekap-Desember" sheetId="13" r:id="rId5"/>
  </sheets>
  <definedNames>
    <definedName name="_xlnm._FilterDatabase" localSheetId="2" hidden="1">'Data Gaji'!$A$6:$M$15</definedName>
    <definedName name="_xlnm._FilterDatabase" localSheetId="3" hidden="1">'Jan-Nov'!$A$6:$U$15</definedName>
    <definedName name="_xlnm._FilterDatabase" localSheetId="4" hidden="1">'Rekap-Desember'!$A$7:$AJ$17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5" l="1"/>
  <c r="L36" i="15" s="1"/>
  <c r="K37" i="15"/>
  <c r="L37" i="15" s="1"/>
  <c r="K38" i="15"/>
  <c r="L38" i="15" s="1"/>
  <c r="K39" i="15"/>
  <c r="L39" i="15"/>
  <c r="K40" i="15"/>
  <c r="L40" i="15" s="1"/>
  <c r="K41" i="15"/>
  <c r="L41" i="15"/>
  <c r="K42" i="15"/>
  <c r="L42" i="15"/>
  <c r="K43" i="15"/>
  <c r="L43" i="15"/>
  <c r="K44" i="15"/>
  <c r="L44" i="15" s="1"/>
  <c r="K45" i="15"/>
  <c r="L45" i="15" s="1"/>
  <c r="AE10" i="13"/>
  <c r="W12" i="13"/>
  <c r="S13" i="13"/>
  <c r="AE14" i="13"/>
  <c r="W16" i="13"/>
  <c r="S17" i="13"/>
  <c r="AE18" i="13"/>
  <c r="W20" i="13"/>
  <c r="Q21" i="13"/>
  <c r="AG21" i="13"/>
  <c r="AA22" i="13"/>
  <c r="AE24" i="13"/>
  <c r="AO9" i="13"/>
  <c r="AP9" i="13"/>
  <c r="AQ9" i="13"/>
  <c r="AN10" i="13"/>
  <c r="AO10" i="13"/>
  <c r="AP10" i="13"/>
  <c r="AQ10" i="13"/>
  <c r="AN11" i="13"/>
  <c r="AT11" i="13" s="1"/>
  <c r="AO11" i="13"/>
  <c r="AP11" i="13"/>
  <c r="AQ11" i="13"/>
  <c r="AN12" i="13"/>
  <c r="AT12" i="13" s="1"/>
  <c r="AO12" i="13"/>
  <c r="AP12" i="13"/>
  <c r="AQ12" i="13"/>
  <c r="AO13" i="13"/>
  <c r="AP13" i="13"/>
  <c r="AQ13" i="13"/>
  <c r="AO14" i="13"/>
  <c r="AP14" i="13"/>
  <c r="AQ14" i="13"/>
  <c r="AN15" i="13"/>
  <c r="AO15" i="13"/>
  <c r="AP15" i="13"/>
  <c r="AQ15" i="13"/>
  <c r="AO16" i="13"/>
  <c r="AP16" i="13"/>
  <c r="AQ16" i="13"/>
  <c r="AO17" i="13"/>
  <c r="AP17" i="13"/>
  <c r="AQ17" i="13"/>
  <c r="AN18" i="13"/>
  <c r="AT18" i="13" s="1"/>
  <c r="AO18" i="13"/>
  <c r="AP18" i="13"/>
  <c r="AQ18" i="13"/>
  <c r="AO19" i="13"/>
  <c r="AP19" i="13"/>
  <c r="AQ19" i="13"/>
  <c r="AO20" i="13"/>
  <c r="AP20" i="13"/>
  <c r="AQ20" i="13"/>
  <c r="AO21" i="13"/>
  <c r="AP21" i="13"/>
  <c r="AQ21" i="13"/>
  <c r="AO22" i="13"/>
  <c r="AP22" i="13"/>
  <c r="AQ22" i="13"/>
  <c r="AO23" i="13"/>
  <c r="AP23" i="13"/>
  <c r="AQ23" i="13"/>
  <c r="AO24" i="13"/>
  <c r="AP24" i="13"/>
  <c r="AQ24" i="13"/>
  <c r="AL9" i="13"/>
  <c r="AN9" i="13" s="1"/>
  <c r="AL10" i="13"/>
  <c r="AL11" i="13"/>
  <c r="AL12" i="13"/>
  <c r="AL13" i="13"/>
  <c r="AN13" i="13" s="1"/>
  <c r="AT13" i="13" s="1"/>
  <c r="AL14" i="13"/>
  <c r="AN14" i="13" s="1"/>
  <c r="AT14" i="13" s="1"/>
  <c r="AL15" i="13"/>
  <c r="AL16" i="13"/>
  <c r="AN16" i="13" s="1"/>
  <c r="AT16" i="13" s="1"/>
  <c r="AV16" i="13" s="1"/>
  <c r="AL17" i="13"/>
  <c r="AN17" i="13" s="1"/>
  <c r="AT17" i="13" s="1"/>
  <c r="AL18" i="13"/>
  <c r="AL19" i="13"/>
  <c r="AN19" i="13" s="1"/>
  <c r="AL20" i="13"/>
  <c r="AN20" i="13" s="1"/>
  <c r="AL21" i="13"/>
  <c r="AL22" i="13"/>
  <c r="AL23" i="13"/>
  <c r="AL24" i="13"/>
  <c r="AL25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8" i="13"/>
  <c r="L19" i="13"/>
  <c r="L20" i="13"/>
  <c r="I9" i="13"/>
  <c r="K9" i="13"/>
  <c r="I10" i="13"/>
  <c r="K10" i="13"/>
  <c r="I11" i="13"/>
  <c r="K11" i="13"/>
  <c r="I12" i="13"/>
  <c r="K12" i="13"/>
  <c r="I13" i="13"/>
  <c r="K13" i="13"/>
  <c r="I14" i="13"/>
  <c r="K14" i="13"/>
  <c r="I15" i="13"/>
  <c r="K15" i="13"/>
  <c r="I16" i="13"/>
  <c r="K16" i="13"/>
  <c r="I17" i="13"/>
  <c r="K17" i="13"/>
  <c r="I18" i="13"/>
  <c r="K18" i="13"/>
  <c r="I19" i="13"/>
  <c r="K19" i="13"/>
  <c r="I20" i="13"/>
  <c r="K20" i="13"/>
  <c r="I21" i="13"/>
  <c r="K21" i="13"/>
  <c r="I22" i="13"/>
  <c r="K22" i="13"/>
  <c r="I23" i="13"/>
  <c r="K23" i="13"/>
  <c r="I24" i="13"/>
  <c r="K24" i="13"/>
  <c r="K8" i="13"/>
  <c r="I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8" i="13"/>
  <c r="CH8" i="15"/>
  <c r="AG9" i="13" s="1"/>
  <c r="CH9" i="15"/>
  <c r="AG10" i="13" s="1"/>
  <c r="CH10" i="15"/>
  <c r="AG11" i="13" s="1"/>
  <c r="CH11" i="15"/>
  <c r="AG12" i="13" s="1"/>
  <c r="CH12" i="15"/>
  <c r="AG13" i="13" s="1"/>
  <c r="CH13" i="15"/>
  <c r="AG14" i="13" s="1"/>
  <c r="CH14" i="15"/>
  <c r="AG15" i="13" s="1"/>
  <c r="CH15" i="15"/>
  <c r="AG16" i="13" s="1"/>
  <c r="CH16" i="15"/>
  <c r="AG17" i="13" s="1"/>
  <c r="CH17" i="15"/>
  <c r="AG18" i="13" s="1"/>
  <c r="CH18" i="15"/>
  <c r="AG19" i="13" s="1"/>
  <c r="CH19" i="15"/>
  <c r="AG20" i="13" s="1"/>
  <c r="CH20" i="15"/>
  <c r="CH21" i="15"/>
  <c r="AG22" i="13" s="1"/>
  <c r="CH22" i="15"/>
  <c r="AG23" i="13" s="1"/>
  <c r="CH23" i="15"/>
  <c r="AG24" i="13" s="1"/>
  <c r="CH24" i="15"/>
  <c r="CH25" i="15"/>
  <c r="CH26" i="15"/>
  <c r="CH27" i="15"/>
  <c r="CH28" i="15"/>
  <c r="CH29" i="15"/>
  <c r="CH30" i="15"/>
  <c r="CH31" i="15"/>
  <c r="CH32" i="15"/>
  <c r="CH33" i="15"/>
  <c r="CH34" i="15"/>
  <c r="CH35" i="15"/>
  <c r="CH36" i="15"/>
  <c r="CH37" i="15"/>
  <c r="CH38" i="15"/>
  <c r="CH39" i="15"/>
  <c r="CH40" i="15"/>
  <c r="CH41" i="15"/>
  <c r="CH42" i="15"/>
  <c r="CH43" i="15"/>
  <c r="CH44" i="15"/>
  <c r="CH45" i="15"/>
  <c r="CA8" i="15"/>
  <c r="AE9" i="13" s="1"/>
  <c r="CA9" i="15"/>
  <c r="CA10" i="15"/>
  <c r="AE11" i="13" s="1"/>
  <c r="CA11" i="15"/>
  <c r="AE12" i="13" s="1"/>
  <c r="CA12" i="15"/>
  <c r="AE13" i="13" s="1"/>
  <c r="CA13" i="15"/>
  <c r="CA14" i="15"/>
  <c r="AE15" i="13" s="1"/>
  <c r="CA15" i="15"/>
  <c r="AE16" i="13" s="1"/>
  <c r="CA16" i="15"/>
  <c r="AE17" i="13" s="1"/>
  <c r="CA17" i="15"/>
  <c r="CA18" i="15"/>
  <c r="AE19" i="13" s="1"/>
  <c r="CA19" i="15"/>
  <c r="AE20" i="13" s="1"/>
  <c r="CA20" i="15"/>
  <c r="AE21" i="13" s="1"/>
  <c r="CA21" i="15"/>
  <c r="AE22" i="13" s="1"/>
  <c r="CA22" i="15"/>
  <c r="AE23" i="13" s="1"/>
  <c r="CA23" i="15"/>
  <c r="CA24" i="15"/>
  <c r="CA25" i="15"/>
  <c r="CA26" i="15"/>
  <c r="CA27" i="15"/>
  <c r="CA28" i="15"/>
  <c r="CA29" i="15"/>
  <c r="CA30" i="15"/>
  <c r="CA31" i="15"/>
  <c r="CA32" i="15"/>
  <c r="CA33" i="15"/>
  <c r="CA34" i="15"/>
  <c r="CA35" i="15"/>
  <c r="CA36" i="15"/>
  <c r="CA37" i="15"/>
  <c r="CA38" i="15"/>
  <c r="CA39" i="15"/>
  <c r="CA40" i="15"/>
  <c r="CA41" i="15"/>
  <c r="CA42" i="15"/>
  <c r="CA43" i="15"/>
  <c r="CA44" i="15"/>
  <c r="CA45" i="15"/>
  <c r="BT21" i="15"/>
  <c r="AC22" i="13" s="1"/>
  <c r="BT22" i="15"/>
  <c r="AC23" i="13" s="1"/>
  <c r="BT23" i="15"/>
  <c r="AC24" i="13" s="1"/>
  <c r="BT24" i="15"/>
  <c r="BT25" i="15"/>
  <c r="BT26" i="15"/>
  <c r="BT27" i="15"/>
  <c r="BT28" i="15"/>
  <c r="BT29" i="15"/>
  <c r="BT30" i="15"/>
  <c r="BT31" i="15"/>
  <c r="BT32" i="15"/>
  <c r="BT33" i="15"/>
  <c r="BT34" i="15"/>
  <c r="BT35" i="15"/>
  <c r="BT36" i="15"/>
  <c r="BT37" i="15"/>
  <c r="BT38" i="15"/>
  <c r="BT39" i="15"/>
  <c r="BT40" i="15"/>
  <c r="BT41" i="15"/>
  <c r="BT42" i="15"/>
  <c r="BT43" i="15"/>
  <c r="BT44" i="15"/>
  <c r="BT45" i="15"/>
  <c r="BM21" i="15"/>
  <c r="BM22" i="15"/>
  <c r="AA23" i="13" s="1"/>
  <c r="BM23" i="15"/>
  <c r="AA24" i="13" s="1"/>
  <c r="BM24" i="15"/>
  <c r="BM25" i="15"/>
  <c r="BM26" i="15"/>
  <c r="BM27" i="15"/>
  <c r="BM28" i="15"/>
  <c r="BM29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45" i="15"/>
  <c r="BF22" i="15"/>
  <c r="Y23" i="13" s="1"/>
  <c r="AY22" i="15"/>
  <c r="W23" i="13" s="1"/>
  <c r="AK22" i="15"/>
  <c r="S23" i="13" s="1"/>
  <c r="BF21" i="15"/>
  <c r="Y22" i="13" s="1"/>
  <c r="AY21" i="15"/>
  <c r="W22" i="13" s="1"/>
  <c r="AR21" i="15"/>
  <c r="U22" i="13" s="1"/>
  <c r="AK21" i="15"/>
  <c r="S22" i="13" s="1"/>
  <c r="BF8" i="15"/>
  <c r="Y9" i="13" s="1"/>
  <c r="BF9" i="15"/>
  <c r="Y10" i="13" s="1"/>
  <c r="BF10" i="15"/>
  <c r="Y11" i="13" s="1"/>
  <c r="BF11" i="15"/>
  <c r="Y12" i="13" s="1"/>
  <c r="BF12" i="15"/>
  <c r="Y13" i="13" s="1"/>
  <c r="BF13" i="15"/>
  <c r="Y14" i="13" s="1"/>
  <c r="BF14" i="15"/>
  <c r="Y15" i="13" s="1"/>
  <c r="BF15" i="15"/>
  <c r="Y16" i="13" s="1"/>
  <c r="BF16" i="15"/>
  <c r="Y17" i="13" s="1"/>
  <c r="BF17" i="15"/>
  <c r="Y18" i="13" s="1"/>
  <c r="BF18" i="15"/>
  <c r="Y19" i="13" s="1"/>
  <c r="BF19" i="15"/>
  <c r="Y20" i="13" s="1"/>
  <c r="BF23" i="15"/>
  <c r="Y24" i="13" s="1"/>
  <c r="BF24" i="15"/>
  <c r="BF25" i="15"/>
  <c r="BF26" i="15"/>
  <c r="BF27" i="15"/>
  <c r="BF28" i="15"/>
  <c r="BF29" i="15"/>
  <c r="BF30" i="15"/>
  <c r="BF31" i="15"/>
  <c r="BF32" i="15"/>
  <c r="BF33" i="15"/>
  <c r="BF34" i="15"/>
  <c r="BF35" i="15"/>
  <c r="BF36" i="15"/>
  <c r="BF37" i="15"/>
  <c r="BF38" i="15"/>
  <c r="BF39" i="15"/>
  <c r="BF40" i="15"/>
  <c r="BF41" i="15"/>
  <c r="BF42" i="15"/>
  <c r="BF43" i="15"/>
  <c r="BF44" i="15"/>
  <c r="BF45" i="15"/>
  <c r="AY8" i="15"/>
  <c r="W9" i="13" s="1"/>
  <c r="AY9" i="15"/>
  <c r="W10" i="13" s="1"/>
  <c r="AY10" i="15"/>
  <c r="W11" i="13" s="1"/>
  <c r="AY11" i="15"/>
  <c r="AY12" i="15"/>
  <c r="W13" i="13" s="1"/>
  <c r="AY13" i="15"/>
  <c r="W14" i="13" s="1"/>
  <c r="AY14" i="15"/>
  <c r="W15" i="13" s="1"/>
  <c r="AY15" i="15"/>
  <c r="AY16" i="15"/>
  <c r="W17" i="13" s="1"/>
  <c r="AY17" i="15"/>
  <c r="W18" i="13" s="1"/>
  <c r="AY18" i="15"/>
  <c r="W19" i="13" s="1"/>
  <c r="AY19" i="15"/>
  <c r="AY20" i="15"/>
  <c r="W21" i="13" s="1"/>
  <c r="AY23" i="15"/>
  <c r="W24" i="13" s="1"/>
  <c r="AY24" i="15"/>
  <c r="AY25" i="15"/>
  <c r="AY26" i="15"/>
  <c r="AY27" i="15"/>
  <c r="AY28" i="15"/>
  <c r="AY29" i="15"/>
  <c r="AY30" i="15"/>
  <c r="AY31" i="15"/>
  <c r="AY32" i="15"/>
  <c r="AY33" i="15"/>
  <c r="AY34" i="15"/>
  <c r="AY35" i="15"/>
  <c r="AY36" i="15"/>
  <c r="AY37" i="15"/>
  <c r="AY38" i="15"/>
  <c r="AY39" i="15"/>
  <c r="AY40" i="15"/>
  <c r="AY41" i="15"/>
  <c r="AY42" i="15"/>
  <c r="AY43" i="15"/>
  <c r="AY44" i="15"/>
  <c r="AY45" i="15"/>
  <c r="AR8" i="15"/>
  <c r="U9" i="13" s="1"/>
  <c r="AR9" i="15"/>
  <c r="U10" i="13" s="1"/>
  <c r="AR10" i="15"/>
  <c r="U11" i="13" s="1"/>
  <c r="AR11" i="15"/>
  <c r="U12" i="13" s="1"/>
  <c r="AR12" i="15"/>
  <c r="U13" i="13" s="1"/>
  <c r="AR13" i="15"/>
  <c r="U14" i="13" s="1"/>
  <c r="AR14" i="15"/>
  <c r="U15" i="13" s="1"/>
  <c r="AR15" i="15"/>
  <c r="U16" i="13" s="1"/>
  <c r="AR16" i="15"/>
  <c r="U17" i="13" s="1"/>
  <c r="AR17" i="15"/>
  <c r="U18" i="13" s="1"/>
  <c r="AR18" i="15"/>
  <c r="U19" i="13" s="1"/>
  <c r="AR19" i="15"/>
  <c r="U20" i="13" s="1"/>
  <c r="AR20" i="15"/>
  <c r="U21" i="13" s="1"/>
  <c r="AR23" i="15"/>
  <c r="U24" i="13" s="1"/>
  <c r="AR24" i="15"/>
  <c r="AR25" i="15"/>
  <c r="AR26" i="15"/>
  <c r="AR27" i="15"/>
  <c r="AR28" i="15"/>
  <c r="AR29" i="15"/>
  <c r="AR30" i="15"/>
  <c r="AR31" i="15"/>
  <c r="AR32" i="15"/>
  <c r="AR33" i="15"/>
  <c r="AR34" i="15"/>
  <c r="AR35" i="15"/>
  <c r="AR36" i="15"/>
  <c r="AR37" i="15"/>
  <c r="AR38" i="15"/>
  <c r="AR39" i="15"/>
  <c r="AR40" i="15"/>
  <c r="AR41" i="15"/>
  <c r="AR42" i="15"/>
  <c r="AR43" i="15"/>
  <c r="AR44" i="15"/>
  <c r="AR45" i="15"/>
  <c r="AK8" i="15"/>
  <c r="S9" i="13" s="1"/>
  <c r="AK9" i="15"/>
  <c r="S10" i="13" s="1"/>
  <c r="AK10" i="15"/>
  <c r="S11" i="13" s="1"/>
  <c r="AK11" i="15"/>
  <c r="S12" i="13" s="1"/>
  <c r="AK12" i="15"/>
  <c r="AK13" i="15"/>
  <c r="S14" i="13" s="1"/>
  <c r="AK14" i="15"/>
  <c r="S15" i="13" s="1"/>
  <c r="AK15" i="15"/>
  <c r="S16" i="13" s="1"/>
  <c r="AK16" i="15"/>
  <c r="AK17" i="15"/>
  <c r="S18" i="13" s="1"/>
  <c r="AK18" i="15"/>
  <c r="S19" i="13" s="1"/>
  <c r="AK19" i="15"/>
  <c r="S20" i="13" s="1"/>
  <c r="AK20" i="15"/>
  <c r="S21" i="13" s="1"/>
  <c r="AK23" i="15"/>
  <c r="S24" i="13" s="1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4" i="15"/>
  <c r="AK45" i="15"/>
  <c r="AD20" i="15"/>
  <c r="AD23" i="15"/>
  <c r="Q24" i="13" s="1"/>
  <c r="AD24" i="15"/>
  <c r="AD25" i="15"/>
  <c r="AD26" i="15"/>
  <c r="AD27" i="15"/>
  <c r="AD28" i="15"/>
  <c r="AD29" i="15"/>
  <c r="AD30" i="15"/>
  <c r="AD31" i="15"/>
  <c r="AD32" i="15"/>
  <c r="AD33" i="15"/>
  <c r="AD34" i="15"/>
  <c r="AD35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K8" i="15"/>
  <c r="L9" i="13" s="1"/>
  <c r="K9" i="15"/>
  <c r="L10" i="13" s="1"/>
  <c r="K10" i="15"/>
  <c r="L11" i="13" s="1"/>
  <c r="K11" i="15"/>
  <c r="L12" i="13" s="1"/>
  <c r="K12" i="15"/>
  <c r="L13" i="13" s="1"/>
  <c r="K13" i="15"/>
  <c r="L14" i="13" s="1"/>
  <c r="K14" i="15"/>
  <c r="L15" i="13" s="1"/>
  <c r="K15" i="15"/>
  <c r="L16" i="13" s="1"/>
  <c r="K16" i="15"/>
  <c r="L17" i="13" s="1"/>
  <c r="K17" i="15"/>
  <c r="L18" i="13" s="1"/>
  <c r="K18" i="15"/>
  <c r="K19" i="15"/>
  <c r="K20" i="15"/>
  <c r="L21" i="13" s="1"/>
  <c r="AO8" i="13"/>
  <c r="K7" i="15"/>
  <c r="K33" i="15"/>
  <c r="K34" i="15"/>
  <c r="K35" i="15"/>
  <c r="AV17" i="13" l="1"/>
  <c r="AW17" i="13"/>
  <c r="AX17" i="13" s="1"/>
  <c r="AV18" i="13"/>
  <c r="AW18" i="13"/>
  <c r="AV12" i="13"/>
  <c r="AW12" i="13"/>
  <c r="AX12" i="13" s="1"/>
  <c r="AV14" i="13"/>
  <c r="AW14" i="13"/>
  <c r="AW13" i="13"/>
  <c r="AV13" i="13"/>
  <c r="AW11" i="13"/>
  <c r="AX11" i="13" s="1"/>
  <c r="AV11" i="13"/>
  <c r="AT15" i="13"/>
  <c r="AV15" i="13" s="1"/>
  <c r="AT10" i="13"/>
  <c r="AV10" i="13" s="1"/>
  <c r="AT19" i="13"/>
  <c r="AV19" i="13" s="1"/>
  <c r="AT9" i="13"/>
  <c r="AV9" i="13" s="1"/>
  <c r="BB12" i="13"/>
  <c r="BC12" i="13" s="1"/>
  <c r="AW10" i="13"/>
  <c r="AW15" i="13"/>
  <c r="AW19" i="13"/>
  <c r="AT20" i="13"/>
  <c r="AW16" i="13"/>
  <c r="AR22" i="15"/>
  <c r="U23" i="13" s="1"/>
  <c r="AD44" i="15"/>
  <c r="CQ43" i="15"/>
  <c r="CJ43" i="15"/>
  <c r="CC43" i="15"/>
  <c r="BV43" i="15"/>
  <c r="BW43" i="15" s="1"/>
  <c r="BO43" i="15"/>
  <c r="BH43" i="15"/>
  <c r="BA43" i="15"/>
  <c r="AT43" i="15"/>
  <c r="AM43" i="15"/>
  <c r="AF43" i="15"/>
  <c r="Y43" i="15"/>
  <c r="R43" i="15"/>
  <c r="CQ42" i="15"/>
  <c r="CJ42" i="15"/>
  <c r="CC42" i="15"/>
  <c r="BV42" i="15"/>
  <c r="BO42" i="15"/>
  <c r="BH42" i="15"/>
  <c r="BA42" i="15"/>
  <c r="AT42" i="15"/>
  <c r="AM42" i="15"/>
  <c r="AF42" i="15"/>
  <c r="Y42" i="15"/>
  <c r="R42" i="15"/>
  <c r="CQ39" i="15"/>
  <c r="CJ39" i="15"/>
  <c r="CC39" i="15"/>
  <c r="BV39" i="15"/>
  <c r="BO39" i="15"/>
  <c r="BH39" i="15"/>
  <c r="BA39" i="15"/>
  <c r="AT39" i="15"/>
  <c r="AM39" i="15"/>
  <c r="AF39" i="15"/>
  <c r="Y39" i="15"/>
  <c r="R39" i="15"/>
  <c r="CQ38" i="15"/>
  <c r="CJ38" i="15"/>
  <c r="CC38" i="15"/>
  <c r="BV38" i="15"/>
  <c r="BO38" i="15"/>
  <c r="BH38" i="15"/>
  <c r="BA38" i="15"/>
  <c r="AT38" i="15"/>
  <c r="AM38" i="15"/>
  <c r="AF38" i="15"/>
  <c r="Y38" i="15"/>
  <c r="R38" i="15"/>
  <c r="CQ37" i="15"/>
  <c r="CJ37" i="15"/>
  <c r="CC37" i="15"/>
  <c r="BV37" i="15"/>
  <c r="BO37" i="15"/>
  <c r="BH37" i="15"/>
  <c r="BA37" i="15"/>
  <c r="AT37" i="15"/>
  <c r="AM37" i="15"/>
  <c r="AF37" i="15"/>
  <c r="Y37" i="15"/>
  <c r="R37" i="15"/>
  <c r="CQ36" i="15"/>
  <c r="CJ36" i="15"/>
  <c r="CC36" i="15"/>
  <c r="BV36" i="15"/>
  <c r="BO36" i="15"/>
  <c r="BH36" i="15"/>
  <c r="BA36" i="15"/>
  <c r="AT36" i="15"/>
  <c r="AM36" i="15"/>
  <c r="AF36" i="15"/>
  <c r="Y36" i="15"/>
  <c r="W36" i="15"/>
  <c r="R36" i="15"/>
  <c r="CQ41" i="15"/>
  <c r="CJ41" i="15"/>
  <c r="CC41" i="15"/>
  <c r="BV41" i="15"/>
  <c r="BO41" i="15"/>
  <c r="BH41" i="15"/>
  <c r="BA41" i="15"/>
  <c r="AT41" i="15"/>
  <c r="AM41" i="15"/>
  <c r="AF41" i="15"/>
  <c r="Y41" i="15"/>
  <c r="R41" i="15"/>
  <c r="CQ40" i="15"/>
  <c r="CJ40" i="15"/>
  <c r="CC40" i="15"/>
  <c r="BV40" i="15"/>
  <c r="BO40" i="15"/>
  <c r="BH40" i="15"/>
  <c r="BA40" i="15"/>
  <c r="AT40" i="15"/>
  <c r="AM40" i="15"/>
  <c r="AF40" i="15"/>
  <c r="Y40" i="15"/>
  <c r="R40" i="15"/>
  <c r="CQ44" i="15"/>
  <c r="CJ44" i="15"/>
  <c r="CC44" i="15"/>
  <c r="BV44" i="15"/>
  <c r="BO44" i="15"/>
  <c r="BH44" i="15"/>
  <c r="BA44" i="15"/>
  <c r="AT44" i="15"/>
  <c r="AM44" i="15"/>
  <c r="AF44" i="15"/>
  <c r="Y44" i="15"/>
  <c r="R44" i="15"/>
  <c r="CO41" i="15"/>
  <c r="BB40" i="15"/>
  <c r="AD41" i="15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9" i="13"/>
  <c r="G10" i="13"/>
  <c r="AW9" i="13" l="1"/>
  <c r="AX13" i="13"/>
  <c r="BB13" i="13" s="1"/>
  <c r="BC13" i="13" s="1"/>
  <c r="BB17" i="13"/>
  <c r="BC17" i="13" s="1"/>
  <c r="AX14" i="13"/>
  <c r="BB14" i="13" s="1"/>
  <c r="BC14" i="13" s="1"/>
  <c r="AX18" i="13"/>
  <c r="BB18" i="13" s="1"/>
  <c r="BC18" i="13" s="1"/>
  <c r="Z36" i="15"/>
  <c r="BB11" i="13"/>
  <c r="BC11" i="13" s="1"/>
  <c r="AX19" i="13"/>
  <c r="BB19" i="13" s="1"/>
  <c r="BC19" i="13" s="1"/>
  <c r="AX9" i="13"/>
  <c r="BB9" i="13" s="1"/>
  <c r="BC9" i="13" s="1"/>
  <c r="AX16" i="13"/>
  <c r="BB16" i="13"/>
  <c r="BC16" i="13" s="1"/>
  <c r="AV20" i="13"/>
  <c r="AW20" i="13"/>
  <c r="AX15" i="13"/>
  <c r="BB15" i="13" s="1"/>
  <c r="BC15" i="13" s="1"/>
  <c r="AX10" i="13"/>
  <c r="BB10" i="13" s="1"/>
  <c r="BC10" i="13" s="1"/>
  <c r="CK41" i="15"/>
  <c r="AO42" i="15"/>
  <c r="BC42" i="15"/>
  <c r="BI43" i="15"/>
  <c r="BI41" i="15"/>
  <c r="BX40" i="15"/>
  <c r="BW42" i="15"/>
  <c r="BB41" i="15"/>
  <c r="BB43" i="15"/>
  <c r="BW41" i="15"/>
  <c r="CK43" i="15"/>
  <c r="AG44" i="15"/>
  <c r="CD36" i="15"/>
  <c r="AD42" i="15"/>
  <c r="AE42" i="15" s="1"/>
  <c r="CO43" i="15"/>
  <c r="CR43" i="15" s="1"/>
  <c r="BB42" i="15"/>
  <c r="BW38" i="15"/>
  <c r="BQ37" i="15"/>
  <c r="AD40" i="15"/>
  <c r="BJ43" i="15"/>
  <c r="BK43" i="15" s="1"/>
  <c r="CR41" i="15"/>
  <c r="BI42" i="15"/>
  <c r="AG41" i="15"/>
  <c r="AD39" i="15"/>
  <c r="AE39" i="15" s="1"/>
  <c r="AD38" i="15"/>
  <c r="AG38" i="15" s="1"/>
  <c r="AN42" i="15"/>
  <c r="BJ42" i="15"/>
  <c r="BX43" i="15"/>
  <c r="BY43" i="15" s="1"/>
  <c r="BC38" i="15"/>
  <c r="BG42" i="15"/>
  <c r="AZ43" i="15"/>
  <c r="BG43" i="15"/>
  <c r="AL42" i="15"/>
  <c r="AZ42" i="15"/>
  <c r="BU43" i="15"/>
  <c r="CD37" i="15"/>
  <c r="CB37" i="15"/>
  <c r="BC36" i="15"/>
  <c r="X36" i="15"/>
  <c r="BW40" i="15"/>
  <c r="AA36" i="15"/>
  <c r="AB36" i="15" s="1"/>
  <c r="AZ39" i="15"/>
  <c r="AO40" i="15"/>
  <c r="BC40" i="15"/>
  <c r="BD40" i="15" s="1"/>
  <c r="BX36" i="15"/>
  <c r="CE37" i="15"/>
  <c r="BG40" i="15"/>
  <c r="AL40" i="15"/>
  <c r="AN40" i="15"/>
  <c r="AE41" i="15"/>
  <c r="CI41" i="15"/>
  <c r="BJ40" i="15"/>
  <c r="AZ41" i="15"/>
  <c r="AH41" i="15"/>
  <c r="AI41" i="15" s="1"/>
  <c r="CL41" i="15"/>
  <c r="BC41" i="15"/>
  <c r="BD41" i="15" s="1"/>
  <c r="AZ40" i="15"/>
  <c r="BG41" i="15"/>
  <c r="BI40" i="15"/>
  <c r="CP41" i="15"/>
  <c r="CS41" i="15"/>
  <c r="AH44" i="15"/>
  <c r="AI44" i="15" s="1"/>
  <c r="AE44" i="15"/>
  <c r="AD43" i="15"/>
  <c r="AE43" i="15" s="1"/>
  <c r="BN36" i="15"/>
  <c r="BI37" i="15"/>
  <c r="P35" i="15"/>
  <c r="BB37" i="15"/>
  <c r="CO37" i="15"/>
  <c r="CR37" i="15" s="1"/>
  <c r="BB36" i="15"/>
  <c r="BW36" i="15"/>
  <c r="CO39" i="15"/>
  <c r="CP39" i="15" s="1"/>
  <c r="AL37" i="15"/>
  <c r="BB38" i="15"/>
  <c r="BG36" i="15"/>
  <c r="AU37" i="15"/>
  <c r="AN36" i="15"/>
  <c r="CO36" i="15"/>
  <c r="CR36" i="15" s="1"/>
  <c r="W37" i="15"/>
  <c r="Z37" i="15" s="1"/>
  <c r="BW37" i="15"/>
  <c r="BG39" i="15"/>
  <c r="CO38" i="15"/>
  <c r="CP38" i="15" s="1"/>
  <c r="W39" i="15"/>
  <c r="X39" i="15" s="1"/>
  <c r="BP39" i="15"/>
  <c r="CK38" i="15"/>
  <c r="BB39" i="15"/>
  <c r="W38" i="15"/>
  <c r="Z38" i="15" s="1"/>
  <c r="AN39" i="15"/>
  <c r="AS39" i="15"/>
  <c r="W35" i="15"/>
  <c r="CE38" i="15"/>
  <c r="L8" i="13"/>
  <c r="K21" i="15"/>
  <c r="L22" i="13" s="1"/>
  <c r="K22" i="15"/>
  <c r="L23" i="13" s="1"/>
  <c r="K23" i="15"/>
  <c r="L24" i="13" s="1"/>
  <c r="K24" i="15"/>
  <c r="K25" i="15"/>
  <c r="L25" i="15" s="1"/>
  <c r="K26" i="15"/>
  <c r="L26" i="15" s="1"/>
  <c r="K27" i="15"/>
  <c r="L27" i="15" s="1"/>
  <c r="K28" i="15"/>
  <c r="L28" i="15" s="1"/>
  <c r="K29" i="15"/>
  <c r="L29" i="15" s="1"/>
  <c r="K30" i="15"/>
  <c r="L30" i="15" s="1"/>
  <c r="K31" i="15"/>
  <c r="K32" i="15"/>
  <c r="CW32" i="13"/>
  <c r="CV32" i="13"/>
  <c r="CT32" i="13"/>
  <c r="CM32" i="13"/>
  <c r="CL32" i="13"/>
  <c r="CK32" i="13"/>
  <c r="CJ32" i="13"/>
  <c r="CI32" i="13"/>
  <c r="CH32" i="13"/>
  <c r="CG32" i="13"/>
  <c r="CF32" i="13"/>
  <c r="BT32" i="13"/>
  <c r="BS32" i="13"/>
  <c r="BR32" i="13"/>
  <c r="BQ32" i="13"/>
  <c r="BP32" i="13"/>
  <c r="BD32" i="13"/>
  <c r="DE32" i="13" s="1"/>
  <c r="AO32" i="13"/>
  <c r="CR32" i="13" s="1"/>
  <c r="CW31" i="13"/>
  <c r="CV31" i="13"/>
  <c r="CT31" i="13"/>
  <c r="CM31" i="13"/>
  <c r="CL31" i="13"/>
  <c r="CK31" i="13"/>
  <c r="CJ31" i="13"/>
  <c r="CI31" i="13"/>
  <c r="CH31" i="13"/>
  <c r="CG31" i="13"/>
  <c r="CF31" i="13"/>
  <c r="BT31" i="13"/>
  <c r="BS31" i="13"/>
  <c r="BR31" i="13"/>
  <c r="BQ31" i="13"/>
  <c r="BP31" i="13"/>
  <c r="BD31" i="13"/>
  <c r="DE31" i="13" s="1"/>
  <c r="AO31" i="13"/>
  <c r="CR31" i="13" s="1"/>
  <c r="CW30" i="13"/>
  <c r="CV30" i="13"/>
  <c r="CT30" i="13"/>
  <c r="CM30" i="13"/>
  <c r="CL30" i="13"/>
  <c r="CK30" i="13"/>
  <c r="CJ30" i="13"/>
  <c r="CI30" i="13"/>
  <c r="CH30" i="13"/>
  <c r="CG30" i="13"/>
  <c r="CF30" i="13"/>
  <c r="BT30" i="13"/>
  <c r="BS30" i="13"/>
  <c r="BR30" i="13"/>
  <c r="BQ30" i="13"/>
  <c r="BP30" i="13"/>
  <c r="BD30" i="13"/>
  <c r="DE30" i="13" s="1"/>
  <c r="AO30" i="13"/>
  <c r="CR30" i="13" s="1"/>
  <c r="CW29" i="13"/>
  <c r="CV29" i="13"/>
  <c r="CT29" i="13"/>
  <c r="CM29" i="13"/>
  <c r="CL29" i="13"/>
  <c r="CK29" i="13"/>
  <c r="CJ29" i="13"/>
  <c r="CI29" i="13"/>
  <c r="CH29" i="13"/>
  <c r="CG29" i="13"/>
  <c r="CF29" i="13"/>
  <c r="BT29" i="13"/>
  <c r="BS29" i="13"/>
  <c r="BR29" i="13"/>
  <c r="BQ29" i="13"/>
  <c r="BP29" i="13"/>
  <c r="BD29" i="13"/>
  <c r="DE29" i="13" s="1"/>
  <c r="AO29" i="13"/>
  <c r="CR29" i="13" s="1"/>
  <c r="CW28" i="13"/>
  <c r="CV28" i="13"/>
  <c r="CT28" i="13"/>
  <c r="CM28" i="13"/>
  <c r="CL28" i="13"/>
  <c r="CK28" i="13"/>
  <c r="CJ28" i="13"/>
  <c r="CI28" i="13"/>
  <c r="CH28" i="13"/>
  <c r="CG28" i="13"/>
  <c r="CF28" i="13"/>
  <c r="BT28" i="13"/>
  <c r="BS28" i="13"/>
  <c r="BR28" i="13"/>
  <c r="BQ28" i="13"/>
  <c r="BP28" i="13"/>
  <c r="BD28" i="13"/>
  <c r="DE28" i="13" s="1"/>
  <c r="AO28" i="13"/>
  <c r="CR28" i="13" s="1"/>
  <c r="CW27" i="13"/>
  <c r="CV27" i="13"/>
  <c r="CT27" i="13"/>
  <c r="CM27" i="13"/>
  <c r="CL27" i="13"/>
  <c r="CK27" i="13"/>
  <c r="CJ27" i="13"/>
  <c r="CI27" i="13"/>
  <c r="CH27" i="13"/>
  <c r="CG27" i="13"/>
  <c r="CF27" i="13"/>
  <c r="BT27" i="13"/>
  <c r="BS27" i="13"/>
  <c r="BR27" i="13"/>
  <c r="BQ27" i="13"/>
  <c r="BP27" i="13"/>
  <c r="BD27" i="13"/>
  <c r="DE27" i="13" s="1"/>
  <c r="AO27" i="13"/>
  <c r="CR27" i="13" s="1"/>
  <c r="AP32" i="13"/>
  <c r="CS32" i="13" s="1"/>
  <c r="AP31" i="13"/>
  <c r="CS31" i="13" s="1"/>
  <c r="AP30" i="13"/>
  <c r="CS30" i="13" s="1"/>
  <c r="AP29" i="13"/>
  <c r="CS29" i="13" s="1"/>
  <c r="AQ29" i="13"/>
  <c r="CU29" i="13" s="1"/>
  <c r="AP28" i="13"/>
  <c r="CS28" i="13" s="1"/>
  <c r="AP27" i="13"/>
  <c r="CS27" i="13" s="1"/>
  <c r="CQ30" i="15"/>
  <c r="AM32" i="13" s="1"/>
  <c r="CJ30" i="15"/>
  <c r="CC30" i="15"/>
  <c r="BV30" i="15"/>
  <c r="BO30" i="15"/>
  <c r="BH30" i="15"/>
  <c r="BA30" i="15"/>
  <c r="AT30" i="15"/>
  <c r="AM30" i="15"/>
  <c r="AF30" i="15"/>
  <c r="Y30" i="15"/>
  <c r="R30" i="15"/>
  <c r="CQ29" i="15"/>
  <c r="AM31" i="13" s="1"/>
  <c r="CJ29" i="15"/>
  <c r="CC29" i="15"/>
  <c r="BV29" i="15"/>
  <c r="BO29" i="15"/>
  <c r="BH29" i="15"/>
  <c r="BA29" i="15"/>
  <c r="AT29" i="15"/>
  <c r="AM29" i="15"/>
  <c r="AF29" i="15"/>
  <c r="Y29" i="15"/>
  <c r="R29" i="15"/>
  <c r="CQ28" i="15"/>
  <c r="AM30" i="13" s="1"/>
  <c r="CJ28" i="15"/>
  <c r="CC28" i="15"/>
  <c r="BV28" i="15"/>
  <c r="BO28" i="15"/>
  <c r="BH28" i="15"/>
  <c r="BA28" i="15"/>
  <c r="AT28" i="15"/>
  <c r="AM28" i="15"/>
  <c r="AF28" i="15"/>
  <c r="Y28" i="15"/>
  <c r="R28" i="15"/>
  <c r="CQ27" i="15"/>
  <c r="AM29" i="13" s="1"/>
  <c r="CJ27" i="15"/>
  <c r="CC27" i="15"/>
  <c r="BV27" i="15"/>
  <c r="BO27" i="15"/>
  <c r="BH27" i="15"/>
  <c r="BA27" i="15"/>
  <c r="AT27" i="15"/>
  <c r="AM27" i="15"/>
  <c r="AF27" i="15"/>
  <c r="Y27" i="15"/>
  <c r="R27" i="15"/>
  <c r="CQ26" i="15"/>
  <c r="AM28" i="13" s="1"/>
  <c r="CJ26" i="15"/>
  <c r="CC26" i="15"/>
  <c r="BV26" i="15"/>
  <c r="BO26" i="15"/>
  <c r="BH26" i="15"/>
  <c r="BA26" i="15"/>
  <c r="AT26" i="15"/>
  <c r="AM26" i="15"/>
  <c r="AF26" i="15"/>
  <c r="Y26" i="15"/>
  <c r="R26" i="15"/>
  <c r="CQ25" i="15"/>
  <c r="AM27" i="13" s="1"/>
  <c r="CJ25" i="15"/>
  <c r="CC25" i="15"/>
  <c r="BV25" i="15"/>
  <c r="BO25" i="15"/>
  <c r="BH25" i="15"/>
  <c r="BA25" i="15"/>
  <c r="AT25" i="15"/>
  <c r="AM25" i="15"/>
  <c r="AF25" i="15"/>
  <c r="Y25" i="15"/>
  <c r="R25" i="15"/>
  <c r="CM41" i="15" l="1"/>
  <c r="AX20" i="13"/>
  <c r="BB20" i="13" s="1"/>
  <c r="BC20" i="13" s="1"/>
  <c r="AD22" i="15"/>
  <c r="Q23" i="13" s="1"/>
  <c r="AD21" i="15"/>
  <c r="Q22" i="13" s="1"/>
  <c r="BD38" i="15"/>
  <c r="CP37" i="15"/>
  <c r="BU40" i="15"/>
  <c r="X37" i="15"/>
  <c r="BD36" i="15"/>
  <c r="BU36" i="15"/>
  <c r="CB36" i="15"/>
  <c r="BC39" i="15"/>
  <c r="BD39" i="15" s="1"/>
  <c r="BI39" i="15"/>
  <c r="BK39" i="15" s="1"/>
  <c r="BD42" i="15"/>
  <c r="CS37" i="15"/>
  <c r="CT37" i="15" s="1"/>
  <c r="CS38" i="15"/>
  <c r="AV37" i="15"/>
  <c r="AW37" i="15" s="1"/>
  <c r="BC37" i="15"/>
  <c r="BD37" i="15" s="1"/>
  <c r="AP42" i="15"/>
  <c r="BN37" i="15"/>
  <c r="BU37" i="15"/>
  <c r="BJ39" i="15"/>
  <c r="Z39" i="15"/>
  <c r="BY40" i="15"/>
  <c r="CS43" i="15"/>
  <c r="CT43" i="15" s="1"/>
  <c r="AZ37" i="15"/>
  <c r="CT41" i="15"/>
  <c r="BJ37" i="15"/>
  <c r="BK37" i="15" s="1"/>
  <c r="BJ41" i="15"/>
  <c r="BK41" i="15" s="1"/>
  <c r="BI36" i="15"/>
  <c r="BG37" i="15"/>
  <c r="AO37" i="15"/>
  <c r="BC43" i="15"/>
  <c r="BD43" i="15" s="1"/>
  <c r="AA38" i="15"/>
  <c r="AB38" i="15" s="1"/>
  <c r="AL39" i="15"/>
  <c r="CS36" i="15"/>
  <c r="CT36" i="15" s="1"/>
  <c r="AN37" i="15"/>
  <c r="BJ38" i="15"/>
  <c r="BI38" i="15"/>
  <c r="BG38" i="15"/>
  <c r="CE39" i="15"/>
  <c r="CB39" i="15"/>
  <c r="CD39" i="15"/>
  <c r="CF39" i="15" s="1"/>
  <c r="BW39" i="15"/>
  <c r="BX39" i="15"/>
  <c r="BU39" i="15"/>
  <c r="AU36" i="15"/>
  <c r="AV36" i="15"/>
  <c r="AS36" i="15"/>
  <c r="AS38" i="15"/>
  <c r="AU38" i="15"/>
  <c r="AV38" i="15"/>
  <c r="CI37" i="15"/>
  <c r="CK37" i="15"/>
  <c r="CL37" i="15"/>
  <c r="CK39" i="15"/>
  <c r="CL39" i="15"/>
  <c r="CI39" i="15"/>
  <c r="BQ38" i="15"/>
  <c r="BN38" i="15"/>
  <c r="BP38" i="15"/>
  <c r="CK36" i="15"/>
  <c r="CI36" i="15"/>
  <c r="CL36" i="15"/>
  <c r="AN38" i="15"/>
  <c r="AO38" i="15"/>
  <c r="AL38" i="15"/>
  <c r="BU41" i="15"/>
  <c r="CO40" i="15"/>
  <c r="CO42" i="15"/>
  <c r="BJ36" i="15"/>
  <c r="P43" i="15"/>
  <c r="S43" i="15" s="1"/>
  <c r="P41" i="15"/>
  <c r="Q41" i="15" s="1"/>
  <c r="AU39" i="15"/>
  <c r="BX37" i="15"/>
  <c r="BY37" i="15" s="1"/>
  <c r="BP37" i="15"/>
  <c r="BR37" i="15" s="1"/>
  <c r="CP43" i="15"/>
  <c r="P38" i="15"/>
  <c r="T38" i="15" s="1"/>
  <c r="P37" i="15"/>
  <c r="CE36" i="15"/>
  <c r="CF36" i="15" s="1"/>
  <c r="X38" i="15"/>
  <c r="CS39" i="15"/>
  <c r="CD38" i="15"/>
  <c r="CF38" i="15" s="1"/>
  <c r="CB38" i="15"/>
  <c r="AV39" i="15"/>
  <c r="AG42" i="15"/>
  <c r="AH42" i="15"/>
  <c r="CR39" i="15"/>
  <c r="P39" i="15"/>
  <c r="T39" i="15" s="1"/>
  <c r="AO39" i="15"/>
  <c r="AP39" i="15" s="1"/>
  <c r="AZ38" i="15"/>
  <c r="CR38" i="15"/>
  <c r="BX38" i="15"/>
  <c r="BY38" i="15" s="1"/>
  <c r="AO36" i="15"/>
  <c r="AP36" i="15" s="1"/>
  <c r="AD36" i="15"/>
  <c r="AE36" i="15" s="1"/>
  <c r="BU38" i="15"/>
  <c r="W42" i="15"/>
  <c r="W40" i="15"/>
  <c r="BX42" i="15"/>
  <c r="BY42" i="15" s="1"/>
  <c r="BU42" i="15"/>
  <c r="W43" i="15"/>
  <c r="W41" i="15"/>
  <c r="CL38" i="15"/>
  <c r="CM38" i="15" s="1"/>
  <c r="AS37" i="15"/>
  <c r="BP36" i="15"/>
  <c r="AA39" i="15"/>
  <c r="CI38" i="15"/>
  <c r="P36" i="15"/>
  <c r="Q36" i="15" s="1"/>
  <c r="BQ36" i="15"/>
  <c r="AZ36" i="15"/>
  <c r="CL43" i="15"/>
  <c r="CM43" i="15" s="1"/>
  <c r="CP36" i="15"/>
  <c r="CI43" i="15"/>
  <c r="AD37" i="15"/>
  <c r="AG37" i="15" s="1"/>
  <c r="BQ39" i="15"/>
  <c r="BR39" i="15" s="1"/>
  <c r="P42" i="15"/>
  <c r="Q42" i="15" s="1"/>
  <c r="P40" i="15"/>
  <c r="T40" i="15" s="1"/>
  <c r="BN39" i="15"/>
  <c r="BX41" i="15"/>
  <c r="BY41" i="15" s="1"/>
  <c r="AA37" i="15"/>
  <c r="AB37" i="15" s="1"/>
  <c r="AL36" i="15"/>
  <c r="AH43" i="15"/>
  <c r="AH39" i="15"/>
  <c r="AG39" i="15"/>
  <c r="AE38" i="15"/>
  <c r="Q43" i="15"/>
  <c r="AE40" i="15"/>
  <c r="AH40" i="15"/>
  <c r="AG40" i="15"/>
  <c r="AH38" i="15"/>
  <c r="AI38" i="15" s="1"/>
  <c r="BY36" i="15"/>
  <c r="BK42" i="15"/>
  <c r="AG43" i="15"/>
  <c r="CF37" i="15"/>
  <c r="AP40" i="15"/>
  <c r="BK40" i="15"/>
  <c r="AQ28" i="13"/>
  <c r="CU28" i="13" s="1"/>
  <c r="AQ31" i="13"/>
  <c r="CU31" i="13" s="1"/>
  <c r="AQ32" i="13"/>
  <c r="CU32" i="13" s="1"/>
  <c r="W29" i="15"/>
  <c r="AQ30" i="13"/>
  <c r="CU30" i="13" s="1"/>
  <c r="W26" i="15"/>
  <c r="W25" i="15"/>
  <c r="W27" i="15"/>
  <c r="W28" i="15"/>
  <c r="W30" i="15"/>
  <c r="P29" i="15"/>
  <c r="P28" i="15"/>
  <c r="P25" i="15"/>
  <c r="P30" i="15"/>
  <c r="P26" i="15"/>
  <c r="P27" i="15"/>
  <c r="R7" i="15"/>
  <c r="CW37" i="13"/>
  <c r="CV37" i="13"/>
  <c r="CT37" i="13"/>
  <c r="CM37" i="13"/>
  <c r="CL37" i="13"/>
  <c r="CK37" i="13"/>
  <c r="CJ37" i="13"/>
  <c r="CI37" i="13"/>
  <c r="CH37" i="13"/>
  <c r="CG37" i="13"/>
  <c r="CF37" i="13"/>
  <c r="BT37" i="13"/>
  <c r="BS37" i="13"/>
  <c r="BR37" i="13"/>
  <c r="BQ37" i="13"/>
  <c r="BP37" i="13"/>
  <c r="BD37" i="13"/>
  <c r="DE37" i="13" s="1"/>
  <c r="AO37" i="13"/>
  <c r="CR37" i="13" s="1"/>
  <c r="CW25" i="13"/>
  <c r="CV25" i="13"/>
  <c r="CT25" i="13"/>
  <c r="CM25" i="13"/>
  <c r="CL25" i="13"/>
  <c r="CK25" i="13"/>
  <c r="CJ25" i="13"/>
  <c r="CI25" i="13"/>
  <c r="CH25" i="13"/>
  <c r="CG25" i="13"/>
  <c r="CF25" i="13"/>
  <c r="BT25" i="13"/>
  <c r="BS25" i="13"/>
  <c r="BR25" i="13"/>
  <c r="BQ25" i="13"/>
  <c r="BP25" i="13"/>
  <c r="BD25" i="13"/>
  <c r="DE25" i="13" s="1"/>
  <c r="AO25" i="13"/>
  <c r="CR25" i="13" s="1"/>
  <c r="CW24" i="13"/>
  <c r="CV24" i="13"/>
  <c r="CT24" i="13"/>
  <c r="CM24" i="13"/>
  <c r="CL24" i="13"/>
  <c r="CK24" i="13"/>
  <c r="CJ24" i="13"/>
  <c r="CI24" i="13"/>
  <c r="CH24" i="13"/>
  <c r="CG24" i="13"/>
  <c r="CF24" i="13"/>
  <c r="BT24" i="13"/>
  <c r="BS24" i="13"/>
  <c r="BR24" i="13"/>
  <c r="BQ24" i="13"/>
  <c r="BP24" i="13"/>
  <c r="BD24" i="13"/>
  <c r="DE24" i="13" s="1"/>
  <c r="CR24" i="13"/>
  <c r="CW23" i="13"/>
  <c r="CV23" i="13"/>
  <c r="CT23" i="13"/>
  <c r="CM23" i="13"/>
  <c r="CL23" i="13"/>
  <c r="CK23" i="13"/>
  <c r="CJ23" i="13"/>
  <c r="CI23" i="13"/>
  <c r="CH23" i="13"/>
  <c r="CG23" i="13"/>
  <c r="CF23" i="13"/>
  <c r="BT23" i="13"/>
  <c r="BS23" i="13"/>
  <c r="BR23" i="13"/>
  <c r="BQ23" i="13"/>
  <c r="BP23" i="13"/>
  <c r="BD23" i="13"/>
  <c r="DE23" i="13" s="1"/>
  <c r="CR23" i="13"/>
  <c r="CW22" i="13"/>
  <c r="CV22" i="13"/>
  <c r="CT22" i="13"/>
  <c r="CM22" i="13"/>
  <c r="CL22" i="13"/>
  <c r="CK22" i="13"/>
  <c r="CJ22" i="13"/>
  <c r="CI22" i="13"/>
  <c r="CH22" i="13"/>
  <c r="CG22" i="13"/>
  <c r="CF22" i="13"/>
  <c r="BT22" i="13"/>
  <c r="BS22" i="13"/>
  <c r="BR22" i="13"/>
  <c r="BQ22" i="13"/>
  <c r="BP22" i="13"/>
  <c r="BD22" i="13"/>
  <c r="DE22" i="13" s="1"/>
  <c r="CR22" i="13"/>
  <c r="CW21" i="13"/>
  <c r="CV21" i="13"/>
  <c r="CT21" i="13"/>
  <c r="CM21" i="13"/>
  <c r="CL21" i="13"/>
  <c r="CK21" i="13"/>
  <c r="CJ21" i="13"/>
  <c r="CI21" i="13"/>
  <c r="CH21" i="13"/>
  <c r="CG21" i="13"/>
  <c r="CF21" i="13"/>
  <c r="BT21" i="13"/>
  <c r="BS21" i="13"/>
  <c r="BR21" i="13"/>
  <c r="BQ21" i="13"/>
  <c r="BP21" i="13"/>
  <c r="BD21" i="13"/>
  <c r="DE21" i="13" s="1"/>
  <c r="CR21" i="13"/>
  <c r="CW20" i="13"/>
  <c r="CV20" i="13"/>
  <c r="CT20" i="13"/>
  <c r="CM20" i="13"/>
  <c r="CL20" i="13"/>
  <c r="CK20" i="13"/>
  <c r="CJ20" i="13"/>
  <c r="CI20" i="13"/>
  <c r="CH20" i="13"/>
  <c r="CG20" i="13"/>
  <c r="CF20" i="13"/>
  <c r="BT20" i="13"/>
  <c r="BS20" i="13"/>
  <c r="BR20" i="13"/>
  <c r="BQ20" i="13"/>
  <c r="BP20" i="13"/>
  <c r="BD20" i="13"/>
  <c r="DE20" i="13" s="1"/>
  <c r="CR20" i="13"/>
  <c r="AP37" i="13"/>
  <c r="CS37" i="13" s="1"/>
  <c r="L35" i="15"/>
  <c r="A22" i="15"/>
  <c r="A23" i="15" s="1"/>
  <c r="A24" i="15" s="1"/>
  <c r="A25" i="15" s="1"/>
  <c r="A26" i="15" s="1"/>
  <c r="A27" i="15" s="1"/>
  <c r="A28" i="15" s="1"/>
  <c r="L23" i="15"/>
  <c r="L22" i="15"/>
  <c r="L21" i="15"/>
  <c r="L20" i="15"/>
  <c r="CQ19" i="15"/>
  <c r="AM20" i="13" s="1"/>
  <c r="L19" i="15"/>
  <c r="L18" i="15"/>
  <c r="CS24" i="13"/>
  <c r="CS23" i="13"/>
  <c r="CS22" i="13"/>
  <c r="CS21" i="13"/>
  <c r="CS20" i="13"/>
  <c r="A1" i="13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BT9" i="13"/>
  <c r="BT10" i="13"/>
  <c r="BT11" i="13"/>
  <c r="BT12" i="13"/>
  <c r="BT13" i="13"/>
  <c r="BT14" i="13"/>
  <c r="BT15" i="13"/>
  <c r="BT16" i="13"/>
  <c r="BT17" i="13"/>
  <c r="BT18" i="13"/>
  <c r="BT19" i="13"/>
  <c r="BT26" i="13"/>
  <c r="BT33" i="13"/>
  <c r="BT34" i="13"/>
  <c r="BT35" i="13"/>
  <c r="BT36" i="13"/>
  <c r="BT38" i="13"/>
  <c r="BS9" i="13"/>
  <c r="BS10" i="13"/>
  <c r="BS11" i="13"/>
  <c r="BS12" i="13"/>
  <c r="BS13" i="13"/>
  <c r="BS14" i="13"/>
  <c r="BS15" i="13"/>
  <c r="BS16" i="13"/>
  <c r="BS17" i="13"/>
  <c r="BS18" i="13"/>
  <c r="BS19" i="13"/>
  <c r="BS26" i="13"/>
  <c r="BS33" i="13"/>
  <c r="BS34" i="13"/>
  <c r="BS35" i="13"/>
  <c r="BS36" i="13"/>
  <c r="BS38" i="13"/>
  <c r="AO26" i="13"/>
  <c r="AO33" i="13"/>
  <c r="AO34" i="13"/>
  <c r="AO35" i="13"/>
  <c r="AO36" i="13"/>
  <c r="AO38" i="13"/>
  <c r="CM37" i="15" l="1"/>
  <c r="AW36" i="15"/>
  <c r="CT38" i="15"/>
  <c r="T41" i="15"/>
  <c r="BR38" i="15"/>
  <c r="AI40" i="15"/>
  <c r="BK38" i="15"/>
  <c r="AE37" i="15"/>
  <c r="AP37" i="15"/>
  <c r="AW38" i="15"/>
  <c r="T36" i="15"/>
  <c r="CM39" i="15"/>
  <c r="AB39" i="15"/>
  <c r="AI42" i="15"/>
  <c r="AI39" i="15"/>
  <c r="BR36" i="15"/>
  <c r="BK36" i="15"/>
  <c r="S36" i="15"/>
  <c r="CT39" i="15"/>
  <c r="T43" i="15"/>
  <c r="U43" i="15" s="1"/>
  <c r="X42" i="15"/>
  <c r="AA42" i="15"/>
  <c r="Z42" i="15"/>
  <c r="AH36" i="15"/>
  <c r="BY39" i="15"/>
  <c r="AH37" i="15"/>
  <c r="AI37" i="15" s="1"/>
  <c r="CD41" i="15"/>
  <c r="CE41" i="15"/>
  <c r="CB41" i="15"/>
  <c r="CS42" i="15"/>
  <c r="CP42" i="15"/>
  <c r="CR42" i="15"/>
  <c r="CT42" i="15" s="1"/>
  <c r="AV42" i="15"/>
  <c r="AS42" i="15"/>
  <c r="AU42" i="15"/>
  <c r="CK42" i="15"/>
  <c r="CI42" i="15"/>
  <c r="CL42" i="15"/>
  <c r="S40" i="15"/>
  <c r="U40" i="15" s="1"/>
  <c r="AA43" i="15"/>
  <c r="Z43" i="15"/>
  <c r="X43" i="15"/>
  <c r="S41" i="15"/>
  <c r="U41" i="15" s="1"/>
  <c r="Q39" i="15"/>
  <c r="CE43" i="15"/>
  <c r="CD43" i="15"/>
  <c r="CB43" i="15"/>
  <c r="CR40" i="15"/>
  <c r="CS40" i="15"/>
  <c r="CP40" i="15"/>
  <c r="AU40" i="15"/>
  <c r="AS40" i="15"/>
  <c r="AV40" i="15"/>
  <c r="AW39" i="15"/>
  <c r="X41" i="15"/>
  <c r="AA41" i="15"/>
  <c r="Z41" i="15"/>
  <c r="S39" i="15"/>
  <c r="U39" i="15" s="1"/>
  <c r="Q40" i="15"/>
  <c r="AN43" i="15"/>
  <c r="AO43" i="15"/>
  <c r="AL43" i="15"/>
  <c r="BQ43" i="15"/>
  <c r="BN43" i="15"/>
  <c r="BP43" i="15"/>
  <c r="CI40" i="15"/>
  <c r="CL40" i="15"/>
  <c r="CK40" i="15"/>
  <c r="S38" i="15"/>
  <c r="U38" i="15" s="1"/>
  <c r="AV43" i="15"/>
  <c r="AS43" i="15"/>
  <c r="AU43" i="15"/>
  <c r="AU41" i="15"/>
  <c r="AV41" i="15"/>
  <c r="AS41" i="15"/>
  <c r="CM36" i="15"/>
  <c r="S42" i="15"/>
  <c r="T42" i="15"/>
  <c r="Q38" i="15"/>
  <c r="AI43" i="15"/>
  <c r="CE42" i="15"/>
  <c r="CB42" i="15"/>
  <c r="CD42" i="15"/>
  <c r="AL41" i="15"/>
  <c r="AO41" i="15"/>
  <c r="AN41" i="15"/>
  <c r="T37" i="15"/>
  <c r="Q37" i="15"/>
  <c r="BP40" i="15"/>
  <c r="BQ40" i="15"/>
  <c r="BN40" i="15"/>
  <c r="BP41" i="15"/>
  <c r="BN41" i="15"/>
  <c r="BQ41" i="15"/>
  <c r="AG36" i="15"/>
  <c r="AI36" i="15" s="1"/>
  <c r="CE40" i="15"/>
  <c r="CB40" i="15"/>
  <c r="CD40" i="15"/>
  <c r="AA40" i="15"/>
  <c r="X40" i="15"/>
  <c r="Z40" i="15"/>
  <c r="BP42" i="15"/>
  <c r="BN42" i="15"/>
  <c r="BQ42" i="15"/>
  <c r="S37" i="15"/>
  <c r="M38" i="13" s="1"/>
  <c r="AP38" i="15"/>
  <c r="A29" i="15"/>
  <c r="AL28" i="13"/>
  <c r="AN28" i="13" s="1"/>
  <c r="AL31" i="13"/>
  <c r="P44" i="15"/>
  <c r="AQ27" i="13"/>
  <c r="CU27" i="13" s="1"/>
  <c r="CE23" i="15"/>
  <c r="AL29" i="13"/>
  <c r="W44" i="15"/>
  <c r="P21" i="15"/>
  <c r="CU24" i="13"/>
  <c r="AQ37" i="13"/>
  <c r="CU37" i="13" s="1"/>
  <c r="CB18" i="15"/>
  <c r="CC18" i="15" s="1"/>
  <c r="P20" i="15"/>
  <c r="CU23" i="13"/>
  <c r="Q18" i="15"/>
  <c r="R18" i="15" s="1"/>
  <c r="CU20" i="13"/>
  <c r="CU21" i="13"/>
  <c r="BF20" i="15"/>
  <c r="Y21" i="13" s="1"/>
  <c r="BJ23" i="15"/>
  <c r="BX23" i="15"/>
  <c r="BT18" i="15"/>
  <c r="AC19" i="13" s="1"/>
  <c r="BM18" i="15"/>
  <c r="W20" i="15"/>
  <c r="W21" i="15"/>
  <c r="P22" i="15"/>
  <c r="W22" i="15"/>
  <c r="AV23" i="15"/>
  <c r="BQ23" i="15"/>
  <c r="CL23" i="15"/>
  <c r="W19" i="15"/>
  <c r="CS9" i="13"/>
  <c r="CS10" i="13"/>
  <c r="CS11" i="13"/>
  <c r="CS13" i="13"/>
  <c r="CS14" i="13"/>
  <c r="CS15" i="13"/>
  <c r="CS16" i="13"/>
  <c r="CS17" i="13"/>
  <c r="CS18" i="13"/>
  <c r="CS19" i="13"/>
  <c r="AP33" i="13"/>
  <c r="CS33" i="13" s="1"/>
  <c r="AP34" i="13"/>
  <c r="CS34" i="13" s="1"/>
  <c r="AP35" i="13"/>
  <c r="CS35" i="13" s="1"/>
  <c r="AP36" i="13"/>
  <c r="CS36" i="13" s="1"/>
  <c r="AP38" i="13"/>
  <c r="CS38" i="13" s="1"/>
  <c r="AP8" i="13"/>
  <c r="CS8" i="13" s="1"/>
  <c r="CR9" i="13"/>
  <c r="CT9" i="13"/>
  <c r="CV9" i="13"/>
  <c r="CW9" i="13"/>
  <c r="CR10" i="13"/>
  <c r="CT10" i="13"/>
  <c r="CV10" i="13"/>
  <c r="CW10" i="13"/>
  <c r="CT11" i="13"/>
  <c r="CV11" i="13"/>
  <c r="CW11" i="13"/>
  <c r="CR12" i="13"/>
  <c r="CT12" i="13"/>
  <c r="CV12" i="13"/>
  <c r="CW12" i="13"/>
  <c r="CR13" i="13"/>
  <c r="CT13" i="13"/>
  <c r="CV13" i="13"/>
  <c r="CW13" i="13"/>
  <c r="CR14" i="13"/>
  <c r="CT14" i="13"/>
  <c r="CV14" i="13"/>
  <c r="CW14" i="13"/>
  <c r="CR15" i="13"/>
  <c r="CT15" i="13"/>
  <c r="CV15" i="13"/>
  <c r="CW15" i="13"/>
  <c r="CR16" i="13"/>
  <c r="CT16" i="13"/>
  <c r="CV16" i="13"/>
  <c r="CW16" i="13"/>
  <c r="CR17" i="13"/>
  <c r="CT17" i="13"/>
  <c r="CV17" i="13"/>
  <c r="CW17" i="13"/>
  <c r="CR18" i="13"/>
  <c r="CT18" i="13"/>
  <c r="CV18" i="13"/>
  <c r="CW18" i="13"/>
  <c r="CR19" i="13"/>
  <c r="CT19" i="13"/>
  <c r="CV19" i="13"/>
  <c r="CW19" i="13"/>
  <c r="CR26" i="13"/>
  <c r="CT26" i="13"/>
  <c r="CV26" i="13"/>
  <c r="CW26" i="13"/>
  <c r="CR33" i="13"/>
  <c r="CT33" i="13"/>
  <c r="CV33" i="13"/>
  <c r="CW33" i="13"/>
  <c r="CR34" i="13"/>
  <c r="CT34" i="13"/>
  <c r="CV34" i="13"/>
  <c r="CW34" i="13"/>
  <c r="CR35" i="13"/>
  <c r="CT35" i="13"/>
  <c r="CV35" i="13"/>
  <c r="CW35" i="13"/>
  <c r="CR36" i="13"/>
  <c r="CT36" i="13"/>
  <c r="CV36" i="13"/>
  <c r="CW36" i="13"/>
  <c r="CR38" i="13"/>
  <c r="CT38" i="13"/>
  <c r="CV38" i="13"/>
  <c r="CW38" i="13"/>
  <c r="CW8" i="13"/>
  <c r="CV8" i="13"/>
  <c r="CT8" i="13"/>
  <c r="CG8" i="13"/>
  <c r="CG9" i="13"/>
  <c r="CG10" i="13"/>
  <c r="CG11" i="13"/>
  <c r="CG12" i="13"/>
  <c r="CG13" i="13"/>
  <c r="CG14" i="13"/>
  <c r="CH9" i="13"/>
  <c r="CI9" i="13"/>
  <c r="CJ9" i="13"/>
  <c r="CK9" i="13"/>
  <c r="CL9" i="13"/>
  <c r="CM9" i="13"/>
  <c r="CH10" i="13"/>
  <c r="CI10" i="13"/>
  <c r="CJ10" i="13"/>
  <c r="CK10" i="13"/>
  <c r="CL10" i="13"/>
  <c r="CM10" i="13"/>
  <c r="CH11" i="13"/>
  <c r="CI11" i="13"/>
  <c r="CJ11" i="13"/>
  <c r="CK11" i="13"/>
  <c r="CL11" i="13"/>
  <c r="CM11" i="13"/>
  <c r="CH12" i="13"/>
  <c r="CI12" i="13"/>
  <c r="CJ12" i="13"/>
  <c r="CK12" i="13"/>
  <c r="CL12" i="13"/>
  <c r="CM12" i="13"/>
  <c r="CH13" i="13"/>
  <c r="CI13" i="13"/>
  <c r="CJ13" i="13"/>
  <c r="CK13" i="13"/>
  <c r="CL13" i="13"/>
  <c r="CM13" i="13"/>
  <c r="CH14" i="13"/>
  <c r="CI14" i="13"/>
  <c r="CJ14" i="13"/>
  <c r="CK14" i="13"/>
  <c r="CL14" i="13"/>
  <c r="CM14" i="13"/>
  <c r="CG15" i="13"/>
  <c r="CH15" i="13"/>
  <c r="CI15" i="13"/>
  <c r="CJ15" i="13"/>
  <c r="CK15" i="13"/>
  <c r="CL15" i="13"/>
  <c r="CM15" i="13"/>
  <c r="CG16" i="13"/>
  <c r="CH16" i="13"/>
  <c r="CI16" i="13"/>
  <c r="CJ16" i="13"/>
  <c r="CK16" i="13"/>
  <c r="CL16" i="13"/>
  <c r="CM16" i="13"/>
  <c r="CG17" i="13"/>
  <c r="CH17" i="13"/>
  <c r="CI17" i="13"/>
  <c r="CJ17" i="13"/>
  <c r="CK17" i="13"/>
  <c r="CL17" i="13"/>
  <c r="CM17" i="13"/>
  <c r="CG18" i="13"/>
  <c r="CH18" i="13"/>
  <c r="CI18" i="13"/>
  <c r="CJ18" i="13"/>
  <c r="CK18" i="13"/>
  <c r="CL18" i="13"/>
  <c r="CM18" i="13"/>
  <c r="CG19" i="13"/>
  <c r="CH19" i="13"/>
  <c r="CI19" i="13"/>
  <c r="CJ19" i="13"/>
  <c r="CK19" i="13"/>
  <c r="CL19" i="13"/>
  <c r="CM19" i="13"/>
  <c r="CG26" i="13"/>
  <c r="CH26" i="13"/>
  <c r="CI26" i="13"/>
  <c r="CJ26" i="13"/>
  <c r="CK26" i="13"/>
  <c r="CL26" i="13"/>
  <c r="CM26" i="13"/>
  <c r="CG33" i="13"/>
  <c r="CH33" i="13"/>
  <c r="CI33" i="13"/>
  <c r="CJ33" i="13"/>
  <c r="CK33" i="13"/>
  <c r="CL33" i="13"/>
  <c r="CM33" i="13"/>
  <c r="CG34" i="13"/>
  <c r="CH34" i="13"/>
  <c r="CI34" i="13"/>
  <c r="CJ34" i="13"/>
  <c r="CK34" i="13"/>
  <c r="CL34" i="13"/>
  <c r="CM34" i="13"/>
  <c r="CG35" i="13"/>
  <c r="CH35" i="13"/>
  <c r="CI35" i="13"/>
  <c r="CJ35" i="13"/>
  <c r="CK35" i="13"/>
  <c r="CL35" i="13"/>
  <c r="CM35" i="13"/>
  <c r="CG36" i="13"/>
  <c r="CH36" i="13"/>
  <c r="CI36" i="13"/>
  <c r="CJ36" i="13"/>
  <c r="CK36" i="13"/>
  <c r="CL36" i="13"/>
  <c r="CM36" i="13"/>
  <c r="CG38" i="13"/>
  <c r="CH38" i="13"/>
  <c r="CI38" i="13"/>
  <c r="CJ38" i="13"/>
  <c r="CK38" i="13"/>
  <c r="CL38" i="13"/>
  <c r="CM38" i="13"/>
  <c r="CF9" i="13"/>
  <c r="CF10" i="13"/>
  <c r="CF11" i="13"/>
  <c r="CF12" i="13"/>
  <c r="CF13" i="13"/>
  <c r="CF14" i="13"/>
  <c r="CF15" i="13"/>
  <c r="CF16" i="13"/>
  <c r="CF17" i="13"/>
  <c r="CF18" i="13"/>
  <c r="CF19" i="13"/>
  <c r="CF26" i="13"/>
  <c r="CF33" i="13"/>
  <c r="CF34" i="13"/>
  <c r="CF35" i="13"/>
  <c r="CF36" i="13"/>
  <c r="CF38" i="13"/>
  <c r="BZ3" i="13"/>
  <c r="CA8" i="13"/>
  <c r="CA9" i="13" s="1"/>
  <c r="BZ8" i="13"/>
  <c r="BZ9" i="13" s="1"/>
  <c r="DM8" i="13"/>
  <c r="DM9" i="13" s="1"/>
  <c r="DM10" i="13" s="1"/>
  <c r="DM11" i="13" s="1"/>
  <c r="DM12" i="13" s="1"/>
  <c r="DM13" i="13" s="1"/>
  <c r="DL8" i="13"/>
  <c r="DL9" i="13" s="1"/>
  <c r="DL10" i="13" s="1"/>
  <c r="DL11" i="13" s="1"/>
  <c r="DL12" i="13" s="1"/>
  <c r="DL13" i="13" s="1"/>
  <c r="CM8" i="13"/>
  <c r="CL8" i="13"/>
  <c r="CK8" i="13"/>
  <c r="CJ8" i="13"/>
  <c r="CI8" i="13"/>
  <c r="CH8" i="13"/>
  <c r="CF8" i="13"/>
  <c r="BP33" i="13"/>
  <c r="BQ33" i="13"/>
  <c r="BR33" i="13"/>
  <c r="BP34" i="13"/>
  <c r="BQ34" i="13"/>
  <c r="BR34" i="13"/>
  <c r="BP35" i="13"/>
  <c r="BQ35" i="13"/>
  <c r="BR35" i="13"/>
  <c r="BP36" i="13"/>
  <c r="BQ36" i="13"/>
  <c r="BR36" i="13"/>
  <c r="BP38" i="13"/>
  <c r="BQ38" i="13"/>
  <c r="BR38" i="13"/>
  <c r="BT8" i="13"/>
  <c r="BS8" i="13"/>
  <c r="BR9" i="13"/>
  <c r="BR10" i="13"/>
  <c r="BR11" i="13"/>
  <c r="BR12" i="13"/>
  <c r="BR13" i="13"/>
  <c r="BR14" i="13"/>
  <c r="BR15" i="13"/>
  <c r="BR16" i="13"/>
  <c r="BR17" i="13"/>
  <c r="BR18" i="13"/>
  <c r="BR19" i="13"/>
  <c r="BR26" i="13"/>
  <c r="BR8" i="13"/>
  <c r="BQ9" i="13"/>
  <c r="BQ10" i="13"/>
  <c r="BQ11" i="13"/>
  <c r="BQ12" i="13"/>
  <c r="BQ13" i="13"/>
  <c r="BQ14" i="13"/>
  <c r="BQ15" i="13"/>
  <c r="BQ16" i="13"/>
  <c r="BQ17" i="13"/>
  <c r="BQ18" i="13"/>
  <c r="BQ19" i="13"/>
  <c r="BQ26" i="13"/>
  <c r="BQ8" i="13"/>
  <c r="BP9" i="13"/>
  <c r="BP10" i="13"/>
  <c r="BP11" i="13"/>
  <c r="BP12" i="13"/>
  <c r="BP13" i="13"/>
  <c r="BP14" i="13"/>
  <c r="BP15" i="13"/>
  <c r="BP16" i="13"/>
  <c r="BP17" i="13"/>
  <c r="BP18" i="13"/>
  <c r="BP19" i="13"/>
  <c r="BP26" i="13"/>
  <c r="BP8" i="13"/>
  <c r="CR8" i="13"/>
  <c r="BD19" i="13"/>
  <c r="DE19" i="13" s="1"/>
  <c r="BD26" i="13"/>
  <c r="DE26" i="13" s="1"/>
  <c r="BD33" i="13"/>
  <c r="DE33" i="13" s="1"/>
  <c r="BN18" i="15" l="1"/>
  <c r="BO18" i="15" s="1"/>
  <c r="AA19" i="13"/>
  <c r="AB41" i="15"/>
  <c r="AB43" i="15"/>
  <c r="AB42" i="15"/>
  <c r="BR43" i="15"/>
  <c r="CT40" i="15"/>
  <c r="AW43" i="15"/>
  <c r="U36" i="15"/>
  <c r="N37" i="13" s="1"/>
  <c r="M37" i="13"/>
  <c r="AP43" i="15"/>
  <c r="AB40" i="15"/>
  <c r="CM40" i="15"/>
  <c r="U42" i="15"/>
  <c r="BR41" i="15"/>
  <c r="CE44" i="15"/>
  <c r="CB44" i="15"/>
  <c r="CD44" i="15"/>
  <c r="AS44" i="15"/>
  <c r="AU44" i="15"/>
  <c r="AV44" i="15"/>
  <c r="CK44" i="15"/>
  <c r="CI44" i="15"/>
  <c r="CL44" i="15"/>
  <c r="CF43" i="15"/>
  <c r="T23" i="15"/>
  <c r="P23" i="15"/>
  <c r="AL32" i="13"/>
  <c r="AN32" i="13" s="1"/>
  <c r="CF41" i="15"/>
  <c r="BR40" i="15"/>
  <c r="AP41" i="15"/>
  <c r="AZ44" i="15"/>
  <c r="BC44" i="15"/>
  <c r="BB44" i="15"/>
  <c r="BQ44" i="15"/>
  <c r="BN44" i="15"/>
  <c r="BP44" i="15"/>
  <c r="BR44" i="15" s="1"/>
  <c r="AN44" i="15"/>
  <c r="AO44" i="15"/>
  <c r="AL44" i="15"/>
  <c r="BI44" i="15"/>
  <c r="BJ44" i="15"/>
  <c r="BG44" i="15"/>
  <c r="X44" i="15"/>
  <c r="AA44" i="15"/>
  <c r="Z44" i="15"/>
  <c r="AB44" i="15" s="1"/>
  <c r="U37" i="15"/>
  <c r="N38" i="13" s="1"/>
  <c r="BR42" i="15"/>
  <c r="CF42" i="15"/>
  <c r="CM42" i="15"/>
  <c r="X23" i="15"/>
  <c r="Y23" i="15" s="1"/>
  <c r="W23" i="15"/>
  <c r="BW44" i="15"/>
  <c r="BX44" i="15"/>
  <c r="BU44" i="15"/>
  <c r="AW41" i="15"/>
  <c r="CF40" i="15"/>
  <c r="AW40" i="15"/>
  <c r="AW42" i="15"/>
  <c r="W18" i="15"/>
  <c r="X18" i="15" s="1"/>
  <c r="Y18" i="15" s="1"/>
  <c r="Z18" i="15" s="1"/>
  <c r="O19" i="13" s="1"/>
  <c r="BQ46" i="1"/>
  <c r="CI23" i="15"/>
  <c r="CJ23" i="15" s="1"/>
  <c r="CK23" i="15" s="1"/>
  <c r="CM23" i="15" s="1"/>
  <c r="AH24" i="13" s="1"/>
  <c r="A30" i="15"/>
  <c r="AS23" i="15"/>
  <c r="AT23" i="15" s="1"/>
  <c r="AU23" i="15" s="1"/>
  <c r="AW23" i="15" s="1"/>
  <c r="V24" i="13" s="1"/>
  <c r="BN23" i="15"/>
  <c r="BO23" i="15" s="1"/>
  <c r="BP23" i="15" s="1"/>
  <c r="BR23" i="15" s="1"/>
  <c r="AB24" i="13" s="1"/>
  <c r="BV28" i="13"/>
  <c r="AA23" i="15"/>
  <c r="BG23" i="15"/>
  <c r="BH23" i="15" s="1"/>
  <c r="BI23" i="15" s="1"/>
  <c r="BK23" i="15" s="1"/>
  <c r="Z24" i="13" s="1"/>
  <c r="BU23" i="15"/>
  <c r="BV23" i="15" s="1"/>
  <c r="BW23" i="15" s="1"/>
  <c r="BY23" i="15" s="1"/>
  <c r="AD24" i="13" s="1"/>
  <c r="BC23" i="15"/>
  <c r="AZ23" i="15"/>
  <c r="BA23" i="15" s="1"/>
  <c r="BB23" i="15" s="1"/>
  <c r="AZ18" i="15"/>
  <c r="BA18" i="15" s="1"/>
  <c r="BB18" i="15" s="1"/>
  <c r="AS18" i="15"/>
  <c r="AT18" i="15" s="1"/>
  <c r="AU18" i="15" s="1"/>
  <c r="BG18" i="15"/>
  <c r="BH18" i="15" s="1"/>
  <c r="BI18" i="15" s="1"/>
  <c r="CB23" i="15"/>
  <c r="CC23" i="15" s="1"/>
  <c r="CD23" i="15" s="1"/>
  <c r="CF23" i="15" s="1"/>
  <c r="AF24" i="13" s="1"/>
  <c r="AO23" i="15"/>
  <c r="AL23" i="15"/>
  <c r="AM23" i="15" s="1"/>
  <c r="AN23" i="15" s="1"/>
  <c r="CL18" i="15"/>
  <c r="CI18" i="15"/>
  <c r="CJ18" i="15" s="1"/>
  <c r="CK18" i="15" s="1"/>
  <c r="BU18" i="15"/>
  <c r="BV18" i="15" s="1"/>
  <c r="BW18" i="15" s="1"/>
  <c r="AO18" i="15"/>
  <c r="BC18" i="15"/>
  <c r="AN31" i="13"/>
  <c r="BV31" i="13"/>
  <c r="CO23" i="15"/>
  <c r="AY28" i="13"/>
  <c r="CQ28" i="13"/>
  <c r="AT28" i="13"/>
  <c r="AZ28" i="13"/>
  <c r="AL18" i="15"/>
  <c r="AM18" i="15" s="1"/>
  <c r="AN18" i="15" s="1"/>
  <c r="AL30" i="13"/>
  <c r="BQ18" i="15"/>
  <c r="AN29" i="13"/>
  <c r="BV29" i="13"/>
  <c r="AV18" i="15"/>
  <c r="CE18" i="15"/>
  <c r="BJ18" i="15"/>
  <c r="AL27" i="13"/>
  <c r="BX18" i="15"/>
  <c r="AA18" i="15"/>
  <c r="Q23" i="15"/>
  <c r="R23" i="15" s="1"/>
  <c r="T22" i="15"/>
  <c r="BT19" i="15"/>
  <c r="AC20" i="13" s="1"/>
  <c r="AP26" i="13"/>
  <c r="CS26" i="13" s="1"/>
  <c r="AP25" i="13"/>
  <c r="CS25" i="13" s="1"/>
  <c r="BM20" i="15"/>
  <c r="AA21" i="13" s="1"/>
  <c r="CU22" i="13"/>
  <c r="AL37" i="13"/>
  <c r="BM19" i="15"/>
  <c r="AA20" i="13" s="1"/>
  <c r="BT20" i="15"/>
  <c r="AC21" i="13" s="1"/>
  <c r="T19" i="15"/>
  <c r="BP18" i="15"/>
  <c r="CD18" i="15"/>
  <c r="T18" i="15"/>
  <c r="S18" i="15"/>
  <c r="M19" i="13" s="1"/>
  <c r="DL14" i="13"/>
  <c r="DL15" i="13" s="1"/>
  <c r="DL16" i="13" s="1"/>
  <c r="DL17" i="13" s="1"/>
  <c r="DL18" i="13" s="1"/>
  <c r="DL19" i="13" s="1"/>
  <c r="DL26" i="13" s="1"/>
  <c r="DL33" i="13" s="1"/>
  <c r="DL34" i="13" s="1"/>
  <c r="DL35" i="13" s="1"/>
  <c r="DL20" i="13"/>
  <c r="DM14" i="13"/>
  <c r="DM15" i="13" s="1"/>
  <c r="DM16" i="13" s="1"/>
  <c r="DM17" i="13" s="1"/>
  <c r="DM18" i="13" s="1"/>
  <c r="DM19" i="13" s="1"/>
  <c r="DM26" i="13" s="1"/>
  <c r="DM33" i="13" s="1"/>
  <c r="DM34" i="13" s="1"/>
  <c r="DM35" i="13" s="1"/>
  <c r="DM20" i="13"/>
  <c r="AL8" i="13"/>
  <c r="AQ25" i="13"/>
  <c r="CU25" i="13" s="1"/>
  <c r="AQ36" i="13"/>
  <c r="CU36" i="13" s="1"/>
  <c r="AQ38" i="13"/>
  <c r="CU38" i="13" s="1"/>
  <c r="LO46" i="1"/>
  <c r="CS12" i="13"/>
  <c r="AQ35" i="13"/>
  <c r="CU13" i="13"/>
  <c r="AQ34" i="13"/>
  <c r="CU11" i="13"/>
  <c r="LJ46" i="1"/>
  <c r="LI46" i="1"/>
  <c r="LH46" i="1"/>
  <c r="KZ46" i="1"/>
  <c r="KY46" i="1"/>
  <c r="KX46" i="1"/>
  <c r="KV46" i="1"/>
  <c r="KU46" i="1"/>
  <c r="KT46" i="1"/>
  <c r="KS46" i="1"/>
  <c r="KQ46" i="1"/>
  <c r="LD46" i="1"/>
  <c r="LC46" i="1"/>
  <c r="LB46" i="1"/>
  <c r="LA46" i="1"/>
  <c r="KW46" i="1"/>
  <c r="KP46" i="1"/>
  <c r="KJ46" i="1"/>
  <c r="KI46" i="1"/>
  <c r="KH46" i="1"/>
  <c r="JV46" i="1"/>
  <c r="JU46" i="1"/>
  <c r="JT46" i="1"/>
  <c r="JS46" i="1"/>
  <c r="JQ46" i="1"/>
  <c r="JX46" i="1"/>
  <c r="JJ46" i="1"/>
  <c r="JI46" i="1"/>
  <c r="JH46" i="1"/>
  <c r="IV46" i="1"/>
  <c r="IU46" i="1"/>
  <c r="IT46" i="1"/>
  <c r="IS46" i="1"/>
  <c r="IQ46" i="1"/>
  <c r="IJ46" i="1"/>
  <c r="II46" i="1"/>
  <c r="IH46" i="1"/>
  <c r="HV46" i="1"/>
  <c r="HU46" i="1"/>
  <c r="HT46" i="1"/>
  <c r="HS46" i="1"/>
  <c r="HQ46" i="1"/>
  <c r="HJ46" i="1"/>
  <c r="HI46" i="1"/>
  <c r="HH46" i="1"/>
  <c r="GV46" i="1"/>
  <c r="GU46" i="1"/>
  <c r="GT46" i="1"/>
  <c r="GS46" i="1"/>
  <c r="GQ46" i="1"/>
  <c r="GJ46" i="1"/>
  <c r="GI46" i="1"/>
  <c r="GH46" i="1"/>
  <c r="FV46" i="1"/>
  <c r="FU46" i="1"/>
  <c r="FT46" i="1"/>
  <c r="FS46" i="1"/>
  <c r="FQ46" i="1"/>
  <c r="FJ46" i="1"/>
  <c r="FI46" i="1"/>
  <c r="FH46" i="1"/>
  <c r="EV46" i="1"/>
  <c r="EU46" i="1"/>
  <c r="ET46" i="1"/>
  <c r="ES46" i="1"/>
  <c r="EQ46" i="1"/>
  <c r="EJ46" i="1"/>
  <c r="EI46" i="1"/>
  <c r="EH46" i="1"/>
  <c r="DV46" i="1"/>
  <c r="DU46" i="1"/>
  <c r="DT46" i="1"/>
  <c r="DS46" i="1"/>
  <c r="DQ46" i="1"/>
  <c r="DJ46" i="1"/>
  <c r="DI46" i="1"/>
  <c r="DH46" i="1"/>
  <c r="CV46" i="1"/>
  <c r="CU46" i="1"/>
  <c r="CT46" i="1"/>
  <c r="CS46" i="1"/>
  <c r="CQ46" i="1"/>
  <c r="CJ46" i="1"/>
  <c r="CI46" i="1"/>
  <c r="CH46" i="1"/>
  <c r="BV46" i="1"/>
  <c r="BU46" i="1"/>
  <c r="BT46" i="1"/>
  <c r="BS46" i="1"/>
  <c r="BJ46" i="1"/>
  <c r="BI46" i="1"/>
  <c r="BH46" i="1"/>
  <c r="AV46" i="1"/>
  <c r="AU46" i="1"/>
  <c r="AT46" i="1"/>
  <c r="AS46" i="1"/>
  <c r="AQ46" i="1"/>
  <c r="CR11" i="13"/>
  <c r="BM39" i="13"/>
  <c r="AR39" i="13"/>
  <c r="CM18" i="15" l="1"/>
  <c r="AH19" i="13" s="1"/>
  <c r="BA28" i="13"/>
  <c r="CZ28" i="13" s="1"/>
  <c r="AN8" i="13"/>
  <c r="BD23" i="15"/>
  <c r="X24" i="13" s="1"/>
  <c r="BV32" i="13"/>
  <c r="CM44" i="15"/>
  <c r="BD44" i="15"/>
  <c r="S23" i="15"/>
  <c r="BK44" i="15"/>
  <c r="BY44" i="15"/>
  <c r="AP44" i="15"/>
  <c r="AW44" i="15"/>
  <c r="AD9" i="15"/>
  <c r="Q10" i="13" s="1"/>
  <c r="Z23" i="15"/>
  <c r="O24" i="13" s="1"/>
  <c r="AD10" i="15"/>
  <c r="Q11" i="13" s="1"/>
  <c r="CF44" i="15"/>
  <c r="AD16" i="15"/>
  <c r="Q17" i="13" s="1"/>
  <c r="AD17" i="15"/>
  <c r="Q18" i="13" s="1"/>
  <c r="AD12" i="15"/>
  <c r="Q13" i="13" s="1"/>
  <c r="AD15" i="15"/>
  <c r="Q16" i="13" s="1"/>
  <c r="S44" i="15"/>
  <c r="Q44" i="15"/>
  <c r="T44" i="15"/>
  <c r="BX46" i="1"/>
  <c r="CC46" i="1"/>
  <c r="BZ46" i="1"/>
  <c r="A31" i="15"/>
  <c r="AW18" i="15"/>
  <c r="V19" i="13" s="1"/>
  <c r="AP23" i="15"/>
  <c r="T24" i="13" s="1"/>
  <c r="Q22" i="15"/>
  <c r="R22" i="15" s="1"/>
  <c r="S22" i="15" s="1"/>
  <c r="M23" i="13" s="1"/>
  <c r="AI23" i="13" s="1"/>
  <c r="AN23" i="13" s="1"/>
  <c r="AT23" i="13" s="1"/>
  <c r="Q19" i="15"/>
  <c r="R19" i="15" s="1"/>
  <c r="S19" i="15" s="1"/>
  <c r="M20" i="13" s="1"/>
  <c r="BY18" i="15"/>
  <c r="AD19" i="13" s="1"/>
  <c r="CO29" i="15"/>
  <c r="BR18" i="15"/>
  <c r="AB19" i="13" s="1"/>
  <c r="CF18" i="15"/>
  <c r="AF19" i="13" s="1"/>
  <c r="AP18" i="15"/>
  <c r="T19" i="13" s="1"/>
  <c r="BP28" i="15"/>
  <c r="AA30" i="13"/>
  <c r="BN28" i="15"/>
  <c r="BQ28" i="15"/>
  <c r="CK28" i="15"/>
  <c r="AG30" i="13"/>
  <c r="CI28" i="15"/>
  <c r="CL28" i="15"/>
  <c r="AO19" i="15"/>
  <c r="AL19" i="15"/>
  <c r="AM19" i="15" s="1"/>
  <c r="AN19" i="15" s="1"/>
  <c r="CI22" i="15"/>
  <c r="CJ22" i="15" s="1"/>
  <c r="CK22" i="15" s="1"/>
  <c r="CL22" i="15"/>
  <c r="BG20" i="15"/>
  <c r="BH20" i="15" s="1"/>
  <c r="BI20" i="15" s="1"/>
  <c r="BJ20" i="15"/>
  <c r="AU29" i="15"/>
  <c r="U31" i="13"/>
  <c r="AV29" i="15"/>
  <c r="AS29" i="15"/>
  <c r="BW27" i="15"/>
  <c r="AC29" i="13"/>
  <c r="BU27" i="15"/>
  <c r="BX27" i="15"/>
  <c r="CD28" i="15"/>
  <c r="AE30" i="13"/>
  <c r="CB28" i="15"/>
  <c r="CE28" i="15"/>
  <c r="AU25" i="15"/>
  <c r="U27" i="13"/>
  <c r="AV25" i="15"/>
  <c r="AS25" i="15"/>
  <c r="AV22" i="15"/>
  <c r="AS22" i="15"/>
  <c r="AT22" i="15" s="1"/>
  <c r="AU22" i="15" s="1"/>
  <c r="CD25" i="15"/>
  <c r="AE27" i="13"/>
  <c r="CB25" i="15"/>
  <c r="CE25" i="15"/>
  <c r="CD29" i="15"/>
  <c r="AE31" i="13"/>
  <c r="CB29" i="15"/>
  <c r="CE29" i="15"/>
  <c r="U18" i="15"/>
  <c r="N19" i="13" s="1"/>
  <c r="CO18" i="15"/>
  <c r="AS19" i="15"/>
  <c r="AT19" i="15" s="1"/>
  <c r="AU19" i="15" s="1"/>
  <c r="AV19" i="15"/>
  <c r="BP25" i="15"/>
  <c r="AA27" i="13"/>
  <c r="BQ25" i="15"/>
  <c r="BN25" i="15"/>
  <c r="CE19" i="15"/>
  <c r="CB19" i="15"/>
  <c r="CC19" i="15" s="1"/>
  <c r="CD19" i="15" s="1"/>
  <c r="CB22" i="15"/>
  <c r="CC22" i="15" s="1"/>
  <c r="CD22" i="15" s="1"/>
  <c r="CE22" i="15"/>
  <c r="CS23" i="15"/>
  <c r="CP23" i="15"/>
  <c r="CQ23" i="15" s="1"/>
  <c r="BD18" i="15"/>
  <c r="X19" i="13" s="1"/>
  <c r="AU27" i="15"/>
  <c r="U29" i="13"/>
  <c r="AV27" i="15"/>
  <c r="AS27" i="15"/>
  <c r="BP27" i="15"/>
  <c r="AA29" i="13"/>
  <c r="BN27" i="15"/>
  <c r="BQ27" i="15"/>
  <c r="BQ19" i="15"/>
  <c r="BN19" i="15"/>
  <c r="BO19" i="15" s="1"/>
  <c r="BP19" i="15" s="1"/>
  <c r="CD27" i="15"/>
  <c r="AE29" i="13"/>
  <c r="CB27" i="15"/>
  <c r="CE27" i="15"/>
  <c r="BW25" i="15"/>
  <c r="AC27" i="13"/>
  <c r="BU25" i="15"/>
  <c r="BX25" i="15"/>
  <c r="CD26" i="15"/>
  <c r="AE28" i="13"/>
  <c r="CB26" i="15"/>
  <c r="CE26" i="15"/>
  <c r="AY32" i="13"/>
  <c r="AT32" i="13"/>
  <c r="AZ32" i="13"/>
  <c r="CQ32" i="13"/>
  <c r="BP29" i="15"/>
  <c r="AA31" i="13"/>
  <c r="BN29" i="15"/>
  <c r="BQ29" i="15"/>
  <c r="AU28" i="15"/>
  <c r="U30" i="13"/>
  <c r="AS28" i="15"/>
  <c r="AV28" i="15"/>
  <c r="BQ21" i="15"/>
  <c r="BN21" i="15"/>
  <c r="BO21" i="15" s="1"/>
  <c r="BP21" i="15" s="1"/>
  <c r="CE20" i="15"/>
  <c r="CB20" i="15"/>
  <c r="CC20" i="15" s="1"/>
  <c r="CD20" i="15" s="1"/>
  <c r="CF20" i="15" s="1"/>
  <c r="AF21" i="13" s="1"/>
  <c r="AN29" i="15"/>
  <c r="S31" i="13"/>
  <c r="AL29" i="15"/>
  <c r="AO29" i="15"/>
  <c r="CL20" i="15"/>
  <c r="CI20" i="15"/>
  <c r="CJ20" i="15" s="1"/>
  <c r="CK20" i="15" s="1"/>
  <c r="AL22" i="15"/>
  <c r="AM22" i="15" s="1"/>
  <c r="AN22" i="15" s="1"/>
  <c r="AO22" i="15"/>
  <c r="CK25" i="15"/>
  <c r="AG27" i="13"/>
  <c r="CL25" i="15"/>
  <c r="CI25" i="15"/>
  <c r="BK18" i="15"/>
  <c r="Z19" i="13" s="1"/>
  <c r="BI27" i="15"/>
  <c r="Y29" i="13"/>
  <c r="BG27" i="15"/>
  <c r="BJ27" i="15"/>
  <c r="BI29" i="15"/>
  <c r="BG29" i="15"/>
  <c r="BJ29" i="15"/>
  <c r="CL19" i="15"/>
  <c r="CI19" i="15"/>
  <c r="CJ19" i="15" s="1"/>
  <c r="CK19" i="15" s="1"/>
  <c r="AN26" i="15"/>
  <c r="S28" i="13"/>
  <c r="AL26" i="15"/>
  <c r="AO26" i="15"/>
  <c r="BP26" i="15"/>
  <c r="AA28" i="13"/>
  <c r="BQ26" i="15"/>
  <c r="BN26" i="15"/>
  <c r="AO21" i="15"/>
  <c r="AL21" i="15"/>
  <c r="AM21" i="15" s="1"/>
  <c r="AN21" i="15" s="1"/>
  <c r="CK29" i="15"/>
  <c r="AG31" i="13"/>
  <c r="CI29" i="15"/>
  <c r="CL29" i="15"/>
  <c r="BW26" i="15"/>
  <c r="AC28" i="13"/>
  <c r="BU26" i="15"/>
  <c r="BX26" i="15"/>
  <c r="CB21" i="15"/>
  <c r="CC21" i="15" s="1"/>
  <c r="CD21" i="15" s="1"/>
  <c r="CE21" i="15"/>
  <c r="AY31" i="13"/>
  <c r="CQ31" i="13"/>
  <c r="AZ31" i="13"/>
  <c r="AT31" i="13"/>
  <c r="AN28" i="15"/>
  <c r="S30" i="13"/>
  <c r="AL28" i="15"/>
  <c r="AO28" i="15"/>
  <c r="BW28" i="15"/>
  <c r="AC30" i="13"/>
  <c r="BX28" i="15"/>
  <c r="BU28" i="15"/>
  <c r="BB25" i="15"/>
  <c r="W27" i="13"/>
  <c r="BC25" i="15"/>
  <c r="AZ25" i="15"/>
  <c r="BG21" i="15"/>
  <c r="BH21" i="15" s="1"/>
  <c r="BI21" i="15" s="1"/>
  <c r="BJ21" i="15"/>
  <c r="BJ22" i="15"/>
  <c r="BG22" i="15"/>
  <c r="BH22" i="15" s="1"/>
  <c r="BI22" i="15" s="1"/>
  <c r="AL20" i="15"/>
  <c r="AM20" i="15" s="1"/>
  <c r="AN20" i="15" s="1"/>
  <c r="AO20" i="15"/>
  <c r="BN20" i="15"/>
  <c r="BO20" i="15" s="1"/>
  <c r="BP20" i="15" s="1"/>
  <c r="BQ20" i="15"/>
  <c r="CK27" i="15"/>
  <c r="AG29" i="13"/>
  <c r="CI27" i="15"/>
  <c r="CL27" i="15"/>
  <c r="AN30" i="13"/>
  <c r="BV30" i="13"/>
  <c r="BI25" i="15"/>
  <c r="Y27" i="13"/>
  <c r="BG25" i="15"/>
  <c r="BJ25" i="15"/>
  <c r="AN25" i="15"/>
  <c r="S27" i="13"/>
  <c r="AO25" i="15"/>
  <c r="AL25" i="15"/>
  <c r="BQ22" i="15"/>
  <c r="BN22" i="15"/>
  <c r="BO22" i="15" s="1"/>
  <c r="BP22" i="15" s="1"/>
  <c r="AS21" i="15"/>
  <c r="AT21" i="15" s="1"/>
  <c r="AU21" i="15" s="1"/>
  <c r="AV21" i="15"/>
  <c r="CK26" i="15"/>
  <c r="AG28" i="13"/>
  <c r="CL26" i="15"/>
  <c r="CI26" i="15"/>
  <c r="BX19" i="15"/>
  <c r="BU19" i="15"/>
  <c r="BV19" i="15" s="1"/>
  <c r="BW19" i="15" s="1"/>
  <c r="AU26" i="15"/>
  <c r="U28" i="13"/>
  <c r="AV26" i="15"/>
  <c r="AS26" i="15"/>
  <c r="AV20" i="15"/>
  <c r="AS20" i="15"/>
  <c r="AT20" i="15" s="1"/>
  <c r="AU20" i="15" s="1"/>
  <c r="BX22" i="15"/>
  <c r="BU22" i="15"/>
  <c r="BV22" i="15" s="1"/>
  <c r="BW22" i="15" s="1"/>
  <c r="AZ19" i="15"/>
  <c r="BA19" i="15" s="1"/>
  <c r="BB19" i="15" s="1"/>
  <c r="BC19" i="15"/>
  <c r="BB29" i="15"/>
  <c r="W31" i="13"/>
  <c r="AZ29" i="15"/>
  <c r="BC29" i="15"/>
  <c r="BB27" i="15"/>
  <c r="W29" i="13"/>
  <c r="AZ27" i="15"/>
  <c r="BC27" i="15"/>
  <c r="BB26" i="15"/>
  <c r="W28" i="13"/>
  <c r="BC26" i="15"/>
  <c r="AZ26" i="15"/>
  <c r="CI21" i="15"/>
  <c r="CJ21" i="15" s="1"/>
  <c r="CK21" i="15" s="1"/>
  <c r="CL21" i="15"/>
  <c r="AZ22" i="15"/>
  <c r="BA22" i="15" s="1"/>
  <c r="BB22" i="15" s="1"/>
  <c r="BC22" i="15"/>
  <c r="AN27" i="15"/>
  <c r="S29" i="13"/>
  <c r="AL27" i="15"/>
  <c r="AO27" i="15"/>
  <c r="AN27" i="13"/>
  <c r="BV27" i="13"/>
  <c r="BJ19" i="15"/>
  <c r="BG19" i="15"/>
  <c r="BH19" i="15" s="1"/>
  <c r="BI19" i="15" s="1"/>
  <c r="AV28" i="13"/>
  <c r="CX28" i="13" s="1"/>
  <c r="AW28" i="13"/>
  <c r="BI26" i="15"/>
  <c r="Y28" i="13"/>
  <c r="BG26" i="15"/>
  <c r="BJ26" i="15"/>
  <c r="BX21" i="15"/>
  <c r="BU21" i="15"/>
  <c r="BV21" i="15" s="1"/>
  <c r="BW21" i="15" s="1"/>
  <c r="BU20" i="15"/>
  <c r="BV20" i="15" s="1"/>
  <c r="BW20" i="15" s="1"/>
  <c r="BX20" i="15"/>
  <c r="BW29" i="15"/>
  <c r="AC31" i="13"/>
  <c r="BU29" i="15"/>
  <c r="BX29" i="15"/>
  <c r="BI28" i="15"/>
  <c r="Y30" i="13"/>
  <c r="BG28" i="15"/>
  <c r="BJ28" i="15"/>
  <c r="AY29" i="13"/>
  <c r="AT29" i="13"/>
  <c r="AZ29" i="13"/>
  <c r="CQ29" i="13"/>
  <c r="BB28" i="15"/>
  <c r="W30" i="13"/>
  <c r="AZ28" i="15"/>
  <c r="BC28" i="15"/>
  <c r="AZ21" i="15"/>
  <c r="BA21" i="15" s="1"/>
  <c r="BB21" i="15" s="1"/>
  <c r="BC21" i="15"/>
  <c r="BC20" i="15"/>
  <c r="AZ20" i="15"/>
  <c r="BA20" i="15" s="1"/>
  <c r="BB20" i="15" s="1"/>
  <c r="Z27" i="15"/>
  <c r="AA27" i="15"/>
  <c r="X27" i="15"/>
  <c r="AA21" i="15"/>
  <c r="X21" i="15"/>
  <c r="Y21" i="15" s="1"/>
  <c r="Z21" i="15" s="1"/>
  <c r="O22" i="13" s="1"/>
  <c r="AA20" i="15"/>
  <c r="X20" i="15"/>
  <c r="Y20" i="15" s="1"/>
  <c r="Z20" i="15" s="1"/>
  <c r="O21" i="13" s="1"/>
  <c r="AA19" i="15"/>
  <c r="X19" i="15"/>
  <c r="Y19" i="15" s="1"/>
  <c r="Z19" i="15" s="1"/>
  <c r="O20" i="13" s="1"/>
  <c r="Z28" i="15"/>
  <c r="AA28" i="15"/>
  <c r="X28" i="15"/>
  <c r="Z29" i="15"/>
  <c r="X29" i="15"/>
  <c r="AA29" i="15"/>
  <c r="Z26" i="15"/>
  <c r="AA26" i="15"/>
  <c r="X26" i="15"/>
  <c r="Z25" i="15"/>
  <c r="O27" i="13" s="1"/>
  <c r="X25" i="15"/>
  <c r="AA25" i="15"/>
  <c r="X22" i="15"/>
  <c r="Y22" i="15" s="1"/>
  <c r="Z22" i="15" s="1"/>
  <c r="O23" i="13" s="1"/>
  <c r="AA22" i="15"/>
  <c r="AB18" i="15"/>
  <c r="P19" i="13" s="1"/>
  <c r="S26" i="15"/>
  <c r="M27" i="13" s="1"/>
  <c r="T26" i="15"/>
  <c r="Q26" i="15"/>
  <c r="S29" i="15"/>
  <c r="M30" i="13" s="1"/>
  <c r="T29" i="15"/>
  <c r="Q29" i="15"/>
  <c r="Q20" i="15"/>
  <c r="R20" i="15" s="1"/>
  <c r="S20" i="15" s="1"/>
  <c r="M21" i="13" s="1"/>
  <c r="AI21" i="13" s="1"/>
  <c r="AN21" i="13" s="1"/>
  <c r="AT21" i="13" s="1"/>
  <c r="T20" i="15"/>
  <c r="S28" i="15"/>
  <c r="M29" i="13" s="1"/>
  <c r="T28" i="15"/>
  <c r="Q28" i="15"/>
  <c r="S27" i="15"/>
  <c r="M28" i="13" s="1"/>
  <c r="Q27" i="15"/>
  <c r="T27" i="15"/>
  <c r="S25" i="15"/>
  <c r="M26" i="13" s="1"/>
  <c r="T25" i="15"/>
  <c r="Q25" i="15"/>
  <c r="T21" i="15"/>
  <c r="Q21" i="15"/>
  <c r="R21" i="15" s="1"/>
  <c r="S21" i="15" s="1"/>
  <c r="M22" i="13" s="1"/>
  <c r="AI22" i="13" s="1"/>
  <c r="AN22" i="13" s="1"/>
  <c r="AT22" i="13" s="1"/>
  <c r="DL21" i="13"/>
  <c r="DL22" i="13" s="1"/>
  <c r="DL23" i="13" s="1"/>
  <c r="DL24" i="13" s="1"/>
  <c r="DL25" i="13" s="1"/>
  <c r="DL27" i="13"/>
  <c r="DL28" i="13" s="1"/>
  <c r="DL29" i="13" s="1"/>
  <c r="DM21" i="13"/>
  <c r="DM22" i="13" s="1"/>
  <c r="DM23" i="13" s="1"/>
  <c r="DM24" i="13" s="1"/>
  <c r="DM25" i="13" s="1"/>
  <c r="DM27" i="13"/>
  <c r="DM28" i="13" s="1"/>
  <c r="DM29" i="13" s="1"/>
  <c r="BV24" i="13"/>
  <c r="BV21" i="13"/>
  <c r="CO22" i="15"/>
  <c r="CO28" i="15"/>
  <c r="BV20" i="13"/>
  <c r="CO19" i="15"/>
  <c r="CO25" i="15"/>
  <c r="CO44" i="15"/>
  <c r="DM36" i="13"/>
  <c r="DM38" i="13" s="1"/>
  <c r="DM39" i="13" s="1"/>
  <c r="DM37" i="13"/>
  <c r="DL36" i="13"/>
  <c r="DL38" i="13" s="1"/>
  <c r="DL39" i="13" s="1"/>
  <c r="DL37" i="13"/>
  <c r="AQ8" i="13"/>
  <c r="CU8" i="13" s="1"/>
  <c r="AP39" i="13"/>
  <c r="CU12" i="13"/>
  <c r="CU9" i="13"/>
  <c r="CU10" i="13"/>
  <c r="CU16" i="13"/>
  <c r="CU14" i="13"/>
  <c r="AL26" i="13"/>
  <c r="AQ26" i="13"/>
  <c r="CU26" i="13" s="1"/>
  <c r="CO31" i="15"/>
  <c r="AQ33" i="13"/>
  <c r="CU33" i="13" s="1"/>
  <c r="CU18" i="13"/>
  <c r="CU34" i="13"/>
  <c r="AL34" i="13"/>
  <c r="CU17" i="13"/>
  <c r="CU35" i="13"/>
  <c r="AL35" i="13"/>
  <c r="CU19" i="13"/>
  <c r="BT17" i="15"/>
  <c r="AC18" i="13" s="1"/>
  <c r="CO10" i="15"/>
  <c r="CU15" i="13"/>
  <c r="LE46" i="1"/>
  <c r="LF46" i="1"/>
  <c r="BM15" i="15"/>
  <c r="AA16" i="13" s="1"/>
  <c r="KA46" i="1"/>
  <c r="KB46" i="1"/>
  <c r="IX46" i="1"/>
  <c r="JW46" i="1"/>
  <c r="KC46" i="1"/>
  <c r="JY46" i="1"/>
  <c r="BM8" i="15"/>
  <c r="AA9" i="13" s="1"/>
  <c r="BM17" i="15"/>
  <c r="AA18" i="13" s="1"/>
  <c r="KD46" i="1"/>
  <c r="JR46" i="1"/>
  <c r="KE46" i="1"/>
  <c r="IZ46" i="1"/>
  <c r="JA46" i="1"/>
  <c r="JZ46" i="1"/>
  <c r="IW46" i="1"/>
  <c r="BT14" i="15"/>
  <c r="AC15" i="13" s="1"/>
  <c r="JB46" i="1"/>
  <c r="HX46" i="1"/>
  <c r="JE46" i="1"/>
  <c r="JP46" i="1"/>
  <c r="JC46" i="1"/>
  <c r="IY46" i="1"/>
  <c r="JD46" i="1"/>
  <c r="IR46" i="1"/>
  <c r="BM14" i="15"/>
  <c r="AA15" i="13" s="1"/>
  <c r="HD46" i="1"/>
  <c r="BT9" i="15"/>
  <c r="AC10" i="13" s="1"/>
  <c r="IA46" i="1"/>
  <c r="BT10" i="15"/>
  <c r="AC11" i="13" s="1"/>
  <c r="BT11" i="15"/>
  <c r="AC12" i="13" s="1"/>
  <c r="BT16" i="15"/>
  <c r="AC17" i="13" s="1"/>
  <c r="IP46" i="1"/>
  <c r="BT12" i="15"/>
  <c r="AC13" i="13" s="1"/>
  <c r="IB46" i="1"/>
  <c r="HP46" i="1"/>
  <c r="HW46" i="1"/>
  <c r="BT8" i="15"/>
  <c r="AC9" i="13" s="1"/>
  <c r="IC46" i="1"/>
  <c r="BT13" i="15"/>
  <c r="AC14" i="13" s="1"/>
  <c r="ID46" i="1"/>
  <c r="HY46" i="1"/>
  <c r="BT15" i="15"/>
  <c r="AC16" i="13" s="1"/>
  <c r="BM16" i="15"/>
  <c r="AA17" i="13" s="1"/>
  <c r="BM12" i="15"/>
  <c r="AA13" i="13" s="1"/>
  <c r="HZ46" i="1"/>
  <c r="GW46" i="1"/>
  <c r="BM9" i="15"/>
  <c r="AA10" i="13" s="1"/>
  <c r="GX46" i="1"/>
  <c r="HB46" i="1"/>
  <c r="BM11" i="15"/>
  <c r="AA12" i="13" s="1"/>
  <c r="BM10" i="15"/>
  <c r="AA11" i="13" s="1"/>
  <c r="GD46" i="1"/>
  <c r="HC46" i="1"/>
  <c r="BM13" i="15"/>
  <c r="AA14" i="13" s="1"/>
  <c r="GR46" i="1"/>
  <c r="GY46" i="1"/>
  <c r="GZ46" i="1"/>
  <c r="HA46" i="1"/>
  <c r="FP46" i="1"/>
  <c r="FW46" i="1"/>
  <c r="GP46" i="1"/>
  <c r="GA46" i="1"/>
  <c r="GB46" i="1"/>
  <c r="GC46" i="1"/>
  <c r="FX46" i="1"/>
  <c r="FZ46" i="1"/>
  <c r="EW46" i="1"/>
  <c r="FC46" i="1"/>
  <c r="FY46" i="1"/>
  <c r="EX46" i="1"/>
  <c r="AD8" i="15"/>
  <c r="Q9" i="13" s="1"/>
  <c r="FB46" i="1"/>
  <c r="EY46" i="1"/>
  <c r="FD46" i="1"/>
  <c r="ER46" i="1"/>
  <c r="EZ46" i="1"/>
  <c r="FA46" i="1"/>
  <c r="DY46" i="1"/>
  <c r="DZ46" i="1"/>
  <c r="EA46" i="1"/>
  <c r="DX46" i="1"/>
  <c r="EP46" i="1"/>
  <c r="EB46" i="1"/>
  <c r="AD14" i="15"/>
  <c r="Q15" i="13" s="1"/>
  <c r="DW46" i="1"/>
  <c r="EC46" i="1"/>
  <c r="ED46" i="1"/>
  <c r="AD13" i="15"/>
  <c r="Q14" i="13" s="1"/>
  <c r="DR46" i="1"/>
  <c r="CW46" i="1"/>
  <c r="CZ46" i="1"/>
  <c r="DP46" i="1"/>
  <c r="DA46" i="1"/>
  <c r="CX46" i="1"/>
  <c r="CP46" i="1"/>
  <c r="DB46" i="1"/>
  <c r="DC46" i="1"/>
  <c r="CY46" i="1"/>
  <c r="DD46" i="1"/>
  <c r="CD46" i="1"/>
  <c r="AD11" i="15"/>
  <c r="Q12" i="13" s="1"/>
  <c r="W14" i="15"/>
  <c r="BP46" i="1"/>
  <c r="BC46" i="1"/>
  <c r="W13" i="15"/>
  <c r="BD46" i="1"/>
  <c r="W17" i="15"/>
  <c r="W15" i="15"/>
  <c r="W8" i="15"/>
  <c r="W31" i="15"/>
  <c r="CA46" i="1"/>
  <c r="CB46" i="1"/>
  <c r="AX46" i="1"/>
  <c r="W16" i="15"/>
  <c r="AY46" i="1"/>
  <c r="AZ46" i="1"/>
  <c r="W12" i="15"/>
  <c r="W24" i="15"/>
  <c r="W11" i="15"/>
  <c r="W10" i="15"/>
  <c r="AW46" i="1"/>
  <c r="W32" i="15"/>
  <c r="BA46" i="1"/>
  <c r="W33" i="15"/>
  <c r="BB46" i="1"/>
  <c r="AR46" i="1"/>
  <c r="AP46" i="1"/>
  <c r="W9" i="15"/>
  <c r="Y46" i="1"/>
  <c r="AB46" i="1"/>
  <c r="AA46" i="1"/>
  <c r="Z46" i="1"/>
  <c r="AD46" i="1"/>
  <c r="AC46" i="1"/>
  <c r="AV23" i="13" l="1"/>
  <c r="AW23" i="13"/>
  <c r="BK19" i="15"/>
  <c r="Z20" i="13" s="1"/>
  <c r="AV21" i="13"/>
  <c r="AW21" i="13"/>
  <c r="CR23" i="15"/>
  <c r="AM24" i="13"/>
  <c r="U23" i="15"/>
  <c r="N24" i="13" s="1"/>
  <c r="AJ24" i="13" s="1"/>
  <c r="M24" i="13"/>
  <c r="AI24" i="13" s="1"/>
  <c r="AN24" i="13" s="1"/>
  <c r="AT24" i="13" s="1"/>
  <c r="AW22" i="13"/>
  <c r="AV22" i="13"/>
  <c r="AB23" i="15"/>
  <c r="P24" i="13" s="1"/>
  <c r="U44" i="15"/>
  <c r="CM19" i="15"/>
  <c r="AH20" i="13" s="1"/>
  <c r="CP44" i="15"/>
  <c r="CR44" i="15"/>
  <c r="CS44" i="15"/>
  <c r="BY21" i="15"/>
  <c r="AD22" i="13" s="1"/>
  <c r="AD18" i="15"/>
  <c r="Q19" i="13" s="1"/>
  <c r="AI19" i="13" s="1"/>
  <c r="BY19" i="15"/>
  <c r="AD20" i="13" s="1"/>
  <c r="BK22" i="15"/>
  <c r="Z23" i="13" s="1"/>
  <c r="CT23" i="15"/>
  <c r="CM20" i="15"/>
  <c r="AH21" i="13" s="1"/>
  <c r="U22" i="15"/>
  <c r="N23" i="13" s="1"/>
  <c r="CF46" i="1"/>
  <c r="CE46" i="1"/>
  <c r="AH23" i="15"/>
  <c r="AE23" i="15"/>
  <c r="AF23" i="15" s="1"/>
  <c r="AG23" i="15" s="1"/>
  <c r="AI23" i="15" s="1"/>
  <c r="R24" i="13" s="1"/>
  <c r="AD19" i="15"/>
  <c r="Q20" i="13" s="1"/>
  <c r="AI20" i="13" s="1"/>
  <c r="BW46" i="1"/>
  <c r="BY46" i="1"/>
  <c r="Q25" i="13"/>
  <c r="AW22" i="15"/>
  <c r="V23" i="13" s="1"/>
  <c r="A32" i="15"/>
  <c r="U21" i="15"/>
  <c r="N22" i="13" s="1"/>
  <c r="CM22" i="15"/>
  <c r="AH23" i="13" s="1"/>
  <c r="BK27" i="15"/>
  <c r="Z29" i="13" s="1"/>
  <c r="W45" i="15"/>
  <c r="W34" i="15"/>
  <c r="CF21" i="15"/>
  <c r="AF22" i="13" s="1"/>
  <c r="BR21" i="15"/>
  <c r="AB22" i="13" s="1"/>
  <c r="CF22" i="15"/>
  <c r="AF23" i="13" s="1"/>
  <c r="AB27" i="15"/>
  <c r="P29" i="13" s="1"/>
  <c r="BD20" i="15"/>
  <c r="X21" i="13" s="1"/>
  <c r="BY22" i="15"/>
  <c r="AD23" i="13" s="1"/>
  <c r="BR19" i="15"/>
  <c r="AB20" i="13" s="1"/>
  <c r="AP19" i="15"/>
  <c r="T20" i="13" s="1"/>
  <c r="CF19" i="15"/>
  <c r="AF20" i="13" s="1"/>
  <c r="CF28" i="15"/>
  <c r="AF30" i="13" s="1"/>
  <c r="CF29" i="15"/>
  <c r="AF31" i="13" s="1"/>
  <c r="AW20" i="15"/>
  <c r="V21" i="13" s="1"/>
  <c r="BR22" i="15"/>
  <c r="AB23" i="13" s="1"/>
  <c r="BA32" i="13"/>
  <c r="CZ32" i="13" s="1"/>
  <c r="BY29" i="15"/>
  <c r="AD31" i="13" s="1"/>
  <c r="BD22" i="15"/>
  <c r="X23" i="13" s="1"/>
  <c r="CM27" i="15"/>
  <c r="AH29" i="13" s="1"/>
  <c r="AW19" i="15"/>
  <c r="V20" i="13" s="1"/>
  <c r="AP22" i="15"/>
  <c r="T23" i="13" s="1"/>
  <c r="AW21" i="15"/>
  <c r="V22" i="13" s="1"/>
  <c r="BA31" i="13"/>
  <c r="CZ31" i="13" s="1"/>
  <c r="BY20" i="15"/>
  <c r="AD21" i="13" s="1"/>
  <c r="U26" i="15"/>
  <c r="N27" i="13" s="1"/>
  <c r="AP21" i="15"/>
  <c r="T22" i="13" s="1"/>
  <c r="BD21" i="15"/>
  <c r="X22" i="13" s="1"/>
  <c r="BD26" i="15"/>
  <c r="X28" i="13" s="1"/>
  <c r="AV32" i="13"/>
  <c r="AW32" i="13"/>
  <c r="CR29" i="15"/>
  <c r="CP29" i="15"/>
  <c r="CS29" i="15"/>
  <c r="BR26" i="15"/>
  <c r="AB28" i="13" s="1"/>
  <c r="BD27" i="15"/>
  <c r="X29" i="13" s="1"/>
  <c r="U27" i="15"/>
  <c r="N28" i="13" s="1"/>
  <c r="CF25" i="15"/>
  <c r="AF27" i="13" s="1"/>
  <c r="AP27" i="15"/>
  <c r="T29" i="13" s="1"/>
  <c r="AW26" i="15"/>
  <c r="V28" i="13" s="1"/>
  <c r="BY25" i="15"/>
  <c r="AD27" i="13" s="1"/>
  <c r="U20" i="15"/>
  <c r="N21" i="13" s="1"/>
  <c r="BR28" i="15"/>
  <c r="AB30" i="13" s="1"/>
  <c r="AY27" i="13"/>
  <c r="AZ27" i="13"/>
  <c r="CQ27" i="13"/>
  <c r="AT27" i="13"/>
  <c r="BD25" i="15"/>
  <c r="X27" i="13" s="1"/>
  <c r="CF26" i="15"/>
  <c r="AF28" i="13" s="1"/>
  <c r="CM28" i="15"/>
  <c r="AH30" i="13" s="1"/>
  <c r="AP25" i="15"/>
  <c r="T27" i="13" s="1"/>
  <c r="AL36" i="13"/>
  <c r="AN36" i="13" s="1"/>
  <c r="CR25" i="15"/>
  <c r="CP25" i="15"/>
  <c r="CS25" i="15"/>
  <c r="U19" i="15"/>
  <c r="N20" i="13" s="1"/>
  <c r="AB26" i="15"/>
  <c r="P28" i="13" s="1"/>
  <c r="BK26" i="15"/>
  <c r="Z28" i="13" s="1"/>
  <c r="CM21" i="15"/>
  <c r="AH22" i="13" s="1"/>
  <c r="BK25" i="15"/>
  <c r="Z27" i="13" s="1"/>
  <c r="CM29" i="15"/>
  <c r="AH31" i="13" s="1"/>
  <c r="BK20" i="15"/>
  <c r="Z21" i="13" s="1"/>
  <c r="CS22" i="15"/>
  <c r="CP22" i="15"/>
  <c r="CQ22" i="15" s="1"/>
  <c r="AM23" i="13" s="1"/>
  <c r="BY27" i="15"/>
  <c r="AD29" i="13" s="1"/>
  <c r="AP20" i="15"/>
  <c r="T21" i="13" s="1"/>
  <c r="BD29" i="15"/>
  <c r="X31" i="13" s="1"/>
  <c r="AW28" i="15"/>
  <c r="V30" i="13" s="1"/>
  <c r="AW29" i="15"/>
  <c r="V31" i="13" s="1"/>
  <c r="CR19" i="15"/>
  <c r="CP19" i="15"/>
  <c r="CS19" i="15"/>
  <c r="O29" i="13"/>
  <c r="BK28" i="15"/>
  <c r="Z30" i="13" s="1"/>
  <c r="AX28" i="13"/>
  <c r="BB28" i="13" s="1"/>
  <c r="CY28" i="13"/>
  <c r="BD19" i="15"/>
  <c r="X20" i="13" s="1"/>
  <c r="BK21" i="15"/>
  <c r="Z22" i="13" s="1"/>
  <c r="AP28" i="15"/>
  <c r="T30" i="13" s="1"/>
  <c r="BK29" i="15"/>
  <c r="AW25" i="15"/>
  <c r="V27" i="13" s="1"/>
  <c r="U25" i="15"/>
  <c r="N26" i="13" s="1"/>
  <c r="BD28" i="15"/>
  <c r="X30" i="13" s="1"/>
  <c r="BR27" i="15"/>
  <c r="AB29" i="13" s="1"/>
  <c r="BA29" i="13"/>
  <c r="CZ29" i="13" s="1"/>
  <c r="BY28" i="15"/>
  <c r="AD30" i="13" s="1"/>
  <c r="CP18" i="15"/>
  <c r="CQ18" i="15" s="1"/>
  <c r="AM19" i="13" s="1"/>
  <c r="CS18" i="15"/>
  <c r="AL33" i="13"/>
  <c r="AN33" i="13" s="1"/>
  <c r="U29" i="15"/>
  <c r="N30" i="13" s="1"/>
  <c r="AT30" i="13"/>
  <c r="CQ30" i="13"/>
  <c r="AZ30" i="13"/>
  <c r="AY30" i="13"/>
  <c r="AV31" i="13"/>
  <c r="AW31" i="13"/>
  <c r="BR29" i="15"/>
  <c r="AB31" i="13" s="1"/>
  <c r="CF27" i="15"/>
  <c r="AF29" i="13" s="1"/>
  <c r="CR28" i="15"/>
  <c r="CP28" i="15"/>
  <c r="CS28" i="15"/>
  <c r="BR20" i="15"/>
  <c r="AB21" i="13" s="1"/>
  <c r="CM25" i="15"/>
  <c r="AH27" i="13" s="1"/>
  <c r="BR25" i="15"/>
  <c r="AB27" i="13" s="1"/>
  <c r="AL38" i="13"/>
  <c r="AN38" i="13" s="1"/>
  <c r="CM26" i="15"/>
  <c r="AH28" i="13" s="1"/>
  <c r="AW29" i="13"/>
  <c r="AV29" i="13"/>
  <c r="AP26" i="15"/>
  <c r="T28" i="13" s="1"/>
  <c r="BY26" i="15"/>
  <c r="AD28" i="13" s="1"/>
  <c r="U28" i="15"/>
  <c r="N29" i="13" s="1"/>
  <c r="AW27" i="15"/>
  <c r="V29" i="13" s="1"/>
  <c r="AP29" i="15"/>
  <c r="T31" i="13" s="1"/>
  <c r="O28" i="13"/>
  <c r="AB25" i="15"/>
  <c r="P27" i="13" s="1"/>
  <c r="AB29" i="15"/>
  <c r="P31" i="13" s="1"/>
  <c r="AB28" i="15"/>
  <c r="P30" i="13" s="1"/>
  <c r="AB19" i="15"/>
  <c r="P20" i="13" s="1"/>
  <c r="AB22" i="15"/>
  <c r="P23" i="13" s="1"/>
  <c r="O30" i="13"/>
  <c r="AB20" i="15"/>
  <c r="P21" i="13" s="1"/>
  <c r="O31" i="13"/>
  <c r="AB21" i="15"/>
  <c r="P22" i="13" s="1"/>
  <c r="CO14" i="15"/>
  <c r="DM31" i="13"/>
  <c r="DM30" i="13"/>
  <c r="DM32" i="13" s="1"/>
  <c r="DL30" i="13"/>
  <c r="DL32" i="13" s="1"/>
  <c r="DL31" i="13"/>
  <c r="AA25" i="13"/>
  <c r="CO20" i="15"/>
  <c r="CO26" i="15"/>
  <c r="CO21" i="15"/>
  <c r="CO27" i="15"/>
  <c r="AC25" i="13"/>
  <c r="AG25" i="13"/>
  <c r="AN37" i="13"/>
  <c r="BV37" i="13"/>
  <c r="AN26" i="13"/>
  <c r="AT26" i="13" s="1"/>
  <c r="S25" i="13"/>
  <c r="CQ20" i="13"/>
  <c r="CQ21" i="13"/>
  <c r="U25" i="13"/>
  <c r="W25" i="13"/>
  <c r="AE25" i="13"/>
  <c r="BV22" i="13"/>
  <c r="BV23" i="13"/>
  <c r="CQ24" i="13"/>
  <c r="CO34" i="15"/>
  <c r="CO35" i="15"/>
  <c r="CO16" i="15"/>
  <c r="CO8" i="15"/>
  <c r="CO9" i="15"/>
  <c r="CO13" i="15"/>
  <c r="CO17" i="15"/>
  <c r="CO15" i="15"/>
  <c r="CO12" i="15"/>
  <c r="CO32" i="15"/>
  <c r="AN34" i="13"/>
  <c r="CO33" i="15"/>
  <c r="AN35" i="13"/>
  <c r="CO45" i="15"/>
  <c r="CO11" i="15"/>
  <c r="AQ39" i="13"/>
  <c r="KF46" i="1"/>
  <c r="KF48" i="1" s="1"/>
  <c r="KR46" i="1"/>
  <c r="LF48" i="1"/>
  <c r="IE46" i="1"/>
  <c r="IF46" i="1"/>
  <c r="JF46" i="1"/>
  <c r="JF48" i="1" s="1"/>
  <c r="HE46" i="1"/>
  <c r="GF46" i="1"/>
  <c r="HF46" i="1"/>
  <c r="GE46" i="1"/>
  <c r="HR46" i="1"/>
  <c r="FE46" i="1"/>
  <c r="BM7" i="15"/>
  <c r="HG46" i="1"/>
  <c r="FR46" i="1"/>
  <c r="FF46" i="1"/>
  <c r="EF46" i="1"/>
  <c r="AY7" i="15"/>
  <c r="FG46" i="1"/>
  <c r="DE46" i="1"/>
  <c r="EE46" i="1"/>
  <c r="DF46" i="1"/>
  <c r="CR46" i="1"/>
  <c r="BR46" i="1"/>
  <c r="BE46" i="1"/>
  <c r="W7" i="15"/>
  <c r="BG46" i="1"/>
  <c r="BF46" i="1"/>
  <c r="AE46" i="1"/>
  <c r="AX22" i="13" l="1"/>
  <c r="BB22" i="13"/>
  <c r="BC22" i="13" s="1"/>
  <c r="AW24" i="13"/>
  <c r="AV24" i="13"/>
  <c r="AX21" i="13"/>
  <c r="BB21" i="13"/>
  <c r="BC21" i="13" s="1"/>
  <c r="AX23" i="13"/>
  <c r="BB23" i="13"/>
  <c r="BC23" i="13" s="1"/>
  <c r="AL39" i="13"/>
  <c r="AE18" i="15"/>
  <c r="AF18" i="15" s="1"/>
  <c r="AG18" i="15" s="1"/>
  <c r="AH18" i="15"/>
  <c r="CT44" i="15"/>
  <c r="Q29" i="13"/>
  <c r="AI29" i="13" s="1"/>
  <c r="AH27" i="15"/>
  <c r="AE27" i="15"/>
  <c r="AG27" i="15"/>
  <c r="AH30" i="15"/>
  <c r="AH21" i="15"/>
  <c r="AE21" i="15"/>
  <c r="AF21" i="15" s="1"/>
  <c r="AG21" i="15" s="1"/>
  <c r="A33" i="15"/>
  <c r="AY26" i="13"/>
  <c r="AZ26" i="13"/>
  <c r="BA30" i="13"/>
  <c r="CZ30" i="13" s="1"/>
  <c r="CR18" i="15"/>
  <c r="CT18" i="15" s="1"/>
  <c r="AZ38" i="13"/>
  <c r="AY38" i="13"/>
  <c r="AT38" i="13"/>
  <c r="AZ36" i="13"/>
  <c r="AY36" i="13"/>
  <c r="BA36" i="13" s="1"/>
  <c r="AT36" i="13"/>
  <c r="AZ33" i="13"/>
  <c r="AY33" i="13"/>
  <c r="AT33" i="13"/>
  <c r="CT19" i="15"/>
  <c r="BN35" i="15"/>
  <c r="BO35" i="15" s="1"/>
  <c r="BP35" i="15" s="1"/>
  <c r="BQ35" i="15"/>
  <c r="AX29" i="13"/>
  <c r="BB29" i="13" s="1"/>
  <c r="DA29" i="13" s="1"/>
  <c r="CY29" i="13"/>
  <c r="AV35" i="15"/>
  <c r="AS35" i="15"/>
  <c r="AT35" i="15" s="1"/>
  <c r="AU35" i="15" s="1"/>
  <c r="BB30" i="15"/>
  <c r="W32" i="13"/>
  <c r="BC30" i="15"/>
  <c r="AZ30" i="15"/>
  <c r="AN30" i="15"/>
  <c r="S32" i="13"/>
  <c r="AO30" i="15"/>
  <c r="AL30" i="15"/>
  <c r="AW30" i="13"/>
  <c r="AV30" i="13"/>
  <c r="BG35" i="15"/>
  <c r="BH35" i="15" s="1"/>
  <c r="BI35" i="15" s="1"/>
  <c r="BJ35" i="15"/>
  <c r="CT28" i="15"/>
  <c r="CB35" i="15"/>
  <c r="CC35" i="15" s="1"/>
  <c r="CD35" i="15" s="1"/>
  <c r="CE35" i="15"/>
  <c r="AX31" i="13"/>
  <c r="BB31" i="13" s="1"/>
  <c r="DA31" i="13" s="1"/>
  <c r="CY31" i="13"/>
  <c r="CP21" i="15"/>
  <c r="CQ21" i="15" s="1"/>
  <c r="AM22" i="13" s="1"/>
  <c r="CS21" i="15"/>
  <c r="CD30" i="15"/>
  <c r="AE32" i="13"/>
  <c r="CB30" i="15"/>
  <c r="CE30" i="15"/>
  <c r="BP30" i="15"/>
  <c r="AA32" i="13"/>
  <c r="BN30" i="15"/>
  <c r="BQ30" i="15"/>
  <c r="AL35" i="15"/>
  <c r="AM35" i="15" s="1"/>
  <c r="AN35" i="15" s="1"/>
  <c r="AO35" i="15"/>
  <c r="CR22" i="15"/>
  <c r="CT22" i="15" s="1"/>
  <c r="BX35" i="15"/>
  <c r="BU35" i="15"/>
  <c r="BV35" i="15" s="1"/>
  <c r="BW35" i="15" s="1"/>
  <c r="BY35" i="15" s="1"/>
  <c r="AD37" i="13" s="1"/>
  <c r="AU30" i="15"/>
  <c r="U32" i="13"/>
  <c r="AS30" i="15"/>
  <c r="AV30" i="15"/>
  <c r="CZ24" i="13"/>
  <c r="CR26" i="15"/>
  <c r="CP26" i="15"/>
  <c r="CS26" i="15"/>
  <c r="CI35" i="15"/>
  <c r="CJ35" i="15" s="1"/>
  <c r="CK35" i="15" s="1"/>
  <c r="CL35" i="15"/>
  <c r="BC35" i="15"/>
  <c r="AZ35" i="15"/>
  <c r="BA35" i="15" s="1"/>
  <c r="BB35" i="15" s="1"/>
  <c r="BC28" i="13"/>
  <c r="DA28" i="13"/>
  <c r="AW27" i="13"/>
  <c r="AV27" i="13"/>
  <c r="CT29" i="15"/>
  <c r="CR27" i="15"/>
  <c r="CP27" i="15"/>
  <c r="CS27" i="15"/>
  <c r="CP35" i="15"/>
  <c r="CQ35" i="15" s="1"/>
  <c r="AM37" i="13" s="1"/>
  <c r="CS35" i="15"/>
  <c r="BI30" i="15"/>
  <c r="BG30" i="15"/>
  <c r="BJ30" i="15"/>
  <c r="CY32" i="13"/>
  <c r="AX32" i="13"/>
  <c r="BB32" i="13" s="1"/>
  <c r="DA32" i="13" s="1"/>
  <c r="CK30" i="15"/>
  <c r="AG32" i="13"/>
  <c r="CI30" i="15"/>
  <c r="CL30" i="15"/>
  <c r="BW30" i="15"/>
  <c r="AC32" i="13"/>
  <c r="BX30" i="15"/>
  <c r="BU30" i="15"/>
  <c r="CX31" i="13"/>
  <c r="CT25" i="15"/>
  <c r="CS20" i="15"/>
  <c r="CP20" i="15"/>
  <c r="CQ20" i="15" s="1"/>
  <c r="AM21" i="13" s="1"/>
  <c r="CX29" i="13"/>
  <c r="BA27" i="13"/>
  <c r="CZ27" i="13" s="1"/>
  <c r="CX32" i="13"/>
  <c r="AE35" i="15"/>
  <c r="AF35" i="15" s="1"/>
  <c r="AG35" i="15" s="1"/>
  <c r="AH35" i="15"/>
  <c r="Z30" i="15"/>
  <c r="O32" i="13" s="1"/>
  <c r="X30" i="15"/>
  <c r="AA30" i="15"/>
  <c r="AA35" i="15"/>
  <c r="X35" i="15"/>
  <c r="Y35" i="15" s="1"/>
  <c r="Z35" i="15" s="1"/>
  <c r="CZ21" i="13"/>
  <c r="CQ23" i="13"/>
  <c r="AN25" i="13"/>
  <c r="AN39" i="13" s="1"/>
  <c r="BV25" i="13"/>
  <c r="CO24" i="15"/>
  <c r="CO30" i="15"/>
  <c r="CZ20" i="13"/>
  <c r="AZ37" i="13"/>
  <c r="CQ37" i="13"/>
  <c r="AY37" i="13"/>
  <c r="BA37" i="13" s="1"/>
  <c r="CZ37" i="13" s="1"/>
  <c r="AT37" i="13"/>
  <c r="CQ22" i="13"/>
  <c r="AG37" i="13"/>
  <c r="U37" i="13"/>
  <c r="W37" i="13"/>
  <c r="AC37" i="13"/>
  <c r="S37" i="13"/>
  <c r="Q37" i="13"/>
  <c r="AE37" i="13"/>
  <c r="AA37" i="13"/>
  <c r="DF48" i="1"/>
  <c r="AZ35" i="13"/>
  <c r="AT35" i="13"/>
  <c r="AY35" i="13"/>
  <c r="AY34" i="13"/>
  <c r="AT34" i="13"/>
  <c r="AZ34" i="13"/>
  <c r="FF48" i="1"/>
  <c r="IF48" i="1"/>
  <c r="HF48" i="1"/>
  <c r="CO7" i="15"/>
  <c r="LG46" i="1"/>
  <c r="GF48" i="1"/>
  <c r="CH7" i="15"/>
  <c r="KG46" i="1"/>
  <c r="CA7" i="15"/>
  <c r="JG46" i="1"/>
  <c r="IG46" i="1"/>
  <c r="EF48" i="1"/>
  <c r="HL46" i="1"/>
  <c r="BF7" i="15"/>
  <c r="GG46" i="1"/>
  <c r="CF48" i="1"/>
  <c r="BF48" i="1"/>
  <c r="FL46" i="1"/>
  <c r="AR7" i="15"/>
  <c r="EG46" i="1"/>
  <c r="AK7" i="15"/>
  <c r="DG46" i="1"/>
  <c r="CG46" i="1"/>
  <c r="AD7" i="15"/>
  <c r="BL46" i="1"/>
  <c r="BA26" i="13" l="1"/>
  <c r="BB24" i="13"/>
  <c r="BC24" i="13" s="1"/>
  <c r="AX24" i="13"/>
  <c r="BA38" i="13"/>
  <c r="AG30" i="15"/>
  <c r="BA33" i="13"/>
  <c r="AI18" i="15"/>
  <c r="BD35" i="15"/>
  <c r="X37" i="13" s="1"/>
  <c r="AI21" i="15"/>
  <c r="AE30" i="15"/>
  <c r="Q32" i="13"/>
  <c r="AH25" i="15"/>
  <c r="AG25" i="15"/>
  <c r="AE25" i="15"/>
  <c r="Q27" i="13"/>
  <c r="AI27" i="13" s="1"/>
  <c r="AG29" i="15"/>
  <c r="AE29" i="15"/>
  <c r="Q31" i="13"/>
  <c r="AH29" i="15"/>
  <c r="AH22" i="15"/>
  <c r="AE22" i="15"/>
  <c r="AF22" i="15" s="1"/>
  <c r="AG22" i="15" s="1"/>
  <c r="AG28" i="15"/>
  <c r="AH28" i="15"/>
  <c r="Q30" i="13"/>
  <c r="AI30" i="13" s="1"/>
  <c r="AE28" i="15"/>
  <c r="AI27" i="15"/>
  <c r="R29" i="13" s="1"/>
  <c r="AJ29" i="13" s="1"/>
  <c r="BH29" i="13" s="1"/>
  <c r="AH19" i="15"/>
  <c r="AE19" i="15"/>
  <c r="AF19" i="15" s="1"/>
  <c r="AG19" i="15" s="1"/>
  <c r="AG26" i="15"/>
  <c r="Q28" i="13"/>
  <c r="AI28" i="13" s="1"/>
  <c r="AE26" i="15"/>
  <c r="AH26" i="15"/>
  <c r="AE20" i="15"/>
  <c r="AF20" i="15" s="1"/>
  <c r="AG20" i="15" s="1"/>
  <c r="AH20" i="15"/>
  <c r="BR35" i="15"/>
  <c r="AB37" i="13" s="1"/>
  <c r="A34" i="15"/>
  <c r="BC32" i="13"/>
  <c r="DB32" i="13" s="1"/>
  <c r="DD32" i="13" s="1"/>
  <c r="CF35" i="15"/>
  <c r="AF37" i="13" s="1"/>
  <c r="CM35" i="15"/>
  <c r="AH37" i="13" s="1"/>
  <c r="BK30" i="15"/>
  <c r="BC31" i="13"/>
  <c r="DB31" i="13" s="1"/>
  <c r="DD31" i="13" s="1"/>
  <c r="CR20" i="15"/>
  <c r="CT20" i="15" s="1"/>
  <c r="AP35" i="15"/>
  <c r="T37" i="13" s="1"/>
  <c r="BK35" i="15"/>
  <c r="CX30" i="13"/>
  <c r="CT27" i="15"/>
  <c r="AX27" i="13"/>
  <c r="BB27" i="13" s="1"/>
  <c r="DA27" i="13" s="1"/>
  <c r="CY27" i="13"/>
  <c r="AP30" i="15"/>
  <c r="T32" i="13" s="1"/>
  <c r="AB30" i="15"/>
  <c r="P32" i="13" s="1"/>
  <c r="CM30" i="15"/>
  <c r="AH32" i="13" s="1"/>
  <c r="CT26" i="15"/>
  <c r="BR30" i="15"/>
  <c r="AB32" i="13" s="1"/>
  <c r="CY30" i="13"/>
  <c r="AX30" i="13"/>
  <c r="BB30" i="13" s="1"/>
  <c r="DA30" i="13" s="1"/>
  <c r="AW30" i="15"/>
  <c r="V32" i="13" s="1"/>
  <c r="CR30" i="15"/>
  <c r="CP30" i="15"/>
  <c r="CS30" i="15"/>
  <c r="BC29" i="13"/>
  <c r="DB28" i="13"/>
  <c r="DD28" i="13" s="1"/>
  <c r="BE28" i="13"/>
  <c r="CR21" i="15"/>
  <c r="CT21" i="15" s="1"/>
  <c r="BY30" i="15"/>
  <c r="AD32" i="13" s="1"/>
  <c r="CF30" i="15"/>
  <c r="AF32" i="13" s="1"/>
  <c r="AW35" i="15"/>
  <c r="V37" i="13" s="1"/>
  <c r="BD30" i="15"/>
  <c r="X32" i="13" s="1"/>
  <c r="CR35" i="15"/>
  <c r="CT35" i="15" s="1"/>
  <c r="CX27" i="13"/>
  <c r="AI35" i="15"/>
  <c r="AI30" i="15"/>
  <c r="R32" i="13" s="1"/>
  <c r="O37" i="13"/>
  <c r="AB35" i="15"/>
  <c r="P37" i="13" s="1"/>
  <c r="CZ23" i="13"/>
  <c r="DA24" i="13"/>
  <c r="CY24" i="13"/>
  <c r="CX21" i="13"/>
  <c r="CX24" i="13"/>
  <c r="CQ25" i="13"/>
  <c r="AT25" i="13"/>
  <c r="AZ25" i="13"/>
  <c r="AY25" i="13"/>
  <c r="DA21" i="13"/>
  <c r="CY21" i="13"/>
  <c r="CX20" i="13"/>
  <c r="CZ22" i="13"/>
  <c r="AW37" i="13"/>
  <c r="AV37" i="13"/>
  <c r="CY20" i="13"/>
  <c r="DA20" i="13"/>
  <c r="BA34" i="13"/>
  <c r="BA35" i="13"/>
  <c r="HK46" i="1"/>
  <c r="BT7" i="15"/>
  <c r="LL46" i="1"/>
  <c r="LK46" i="1"/>
  <c r="KL46" i="1"/>
  <c r="KK46" i="1"/>
  <c r="JL46" i="1"/>
  <c r="JK46" i="1"/>
  <c r="FK46" i="1"/>
  <c r="IL46" i="1"/>
  <c r="IK46" i="1"/>
  <c r="GL46" i="1"/>
  <c r="GK46" i="1"/>
  <c r="EL46" i="1"/>
  <c r="EK46" i="1"/>
  <c r="DL46" i="1"/>
  <c r="DK46" i="1"/>
  <c r="CL46" i="1"/>
  <c r="CK46" i="1"/>
  <c r="R22" i="13" l="1"/>
  <c r="AJ22" i="13" s="1"/>
  <c r="R19" i="13"/>
  <c r="AJ19" i="13" s="1"/>
  <c r="BE32" i="13"/>
  <c r="BF32" i="13" s="1"/>
  <c r="BG32" i="13" s="1"/>
  <c r="AI22" i="15"/>
  <c r="R37" i="13"/>
  <c r="AI25" i="15"/>
  <c r="R27" i="13" s="1"/>
  <c r="AJ27" i="13" s="1"/>
  <c r="BH27" i="13" s="1"/>
  <c r="AI29" i="15"/>
  <c r="R31" i="13" s="1"/>
  <c r="AI26" i="15"/>
  <c r="R28" i="13" s="1"/>
  <c r="AJ28" i="13" s="1"/>
  <c r="BH28" i="13" s="1"/>
  <c r="AI19" i="15"/>
  <c r="AI28" i="15"/>
  <c r="R30" i="13" s="1"/>
  <c r="AJ30" i="13" s="1"/>
  <c r="BH30" i="13" s="1"/>
  <c r="AI20" i="15"/>
  <c r="A35" i="15"/>
  <c r="A36" i="15" s="1"/>
  <c r="A37" i="15" s="1"/>
  <c r="A38" i="15" s="1"/>
  <c r="A39" i="15" s="1"/>
  <c r="BC27" i="13"/>
  <c r="BE27" i="13" s="1"/>
  <c r="BE31" i="13"/>
  <c r="BK31" i="13" s="1"/>
  <c r="BL31" i="13" s="1"/>
  <c r="CT30" i="15"/>
  <c r="DF28" i="13"/>
  <c r="BK28" i="13"/>
  <c r="BL28" i="13" s="1"/>
  <c r="BF28" i="13"/>
  <c r="BG28" i="13" s="1"/>
  <c r="BC30" i="13"/>
  <c r="BE29" i="13"/>
  <c r="DB29" i="13"/>
  <c r="DD29" i="13" s="1"/>
  <c r="AX37" i="13"/>
  <c r="BB37" i="13" s="1"/>
  <c r="CY37" i="13"/>
  <c r="BA25" i="13"/>
  <c r="CZ25" i="13" s="1"/>
  <c r="DA23" i="13"/>
  <c r="CY23" i="13"/>
  <c r="AV25" i="13"/>
  <c r="AW25" i="13"/>
  <c r="CX22" i="13"/>
  <c r="CX37" i="13"/>
  <c r="CX23" i="13"/>
  <c r="DA22" i="13"/>
  <c r="CY22" i="13"/>
  <c r="BV8" i="13"/>
  <c r="AJ46" i="1"/>
  <c r="AI46" i="1"/>
  <c r="AH46" i="1"/>
  <c r="V46" i="1"/>
  <c r="U46" i="1"/>
  <c r="T46" i="1"/>
  <c r="S46" i="1"/>
  <c r="Q46" i="1"/>
  <c r="X46" i="1"/>
  <c r="BH24" i="13" l="1"/>
  <c r="R23" i="13"/>
  <c r="AJ23" i="13" s="1"/>
  <c r="BH23" i="13" s="1"/>
  <c r="BH22" i="13"/>
  <c r="R21" i="13"/>
  <c r="AJ21" i="13" s="1"/>
  <c r="BK32" i="13"/>
  <c r="BL32" i="13" s="1"/>
  <c r="DF32" i="13"/>
  <c r="DB27" i="13"/>
  <c r="DD27" i="13" s="1"/>
  <c r="BH21" i="13"/>
  <c r="R20" i="13"/>
  <c r="AJ20" i="13" s="1"/>
  <c r="BH20" i="13" s="1"/>
  <c r="DF31" i="13"/>
  <c r="BF31" i="13"/>
  <c r="BG31" i="13" s="1"/>
  <c r="DG31" i="13" s="1"/>
  <c r="A40" i="15"/>
  <c r="A41" i="15" s="1"/>
  <c r="A42" i="15" s="1"/>
  <c r="A43" i="15" s="1"/>
  <c r="A44" i="15" s="1"/>
  <c r="A45" i="15" s="1"/>
  <c r="BI28" i="13"/>
  <c r="BW28" i="13" s="1"/>
  <c r="DG28" i="13"/>
  <c r="BN28" i="13"/>
  <c r="DI28" i="13"/>
  <c r="DJ28" i="13" s="1"/>
  <c r="DF27" i="13"/>
  <c r="BK27" i="13"/>
  <c r="BL27" i="13" s="1"/>
  <c r="BF27" i="13"/>
  <c r="BG27" i="13" s="1"/>
  <c r="DF29" i="13"/>
  <c r="BF29" i="13"/>
  <c r="BG29" i="13" s="1"/>
  <c r="BK29" i="13"/>
  <c r="BL29" i="13" s="1"/>
  <c r="BE30" i="13"/>
  <c r="DB30" i="13"/>
  <c r="DD30" i="13" s="1"/>
  <c r="BN32" i="13"/>
  <c r="DG32" i="13"/>
  <c r="DI32" i="13"/>
  <c r="DJ32" i="13" s="1"/>
  <c r="DA37" i="13"/>
  <c r="BC37" i="13"/>
  <c r="DB37" i="13"/>
  <c r="DD37" i="13" s="1"/>
  <c r="BE37" i="13"/>
  <c r="AX25" i="13"/>
  <c r="BB25" i="13" s="1"/>
  <c r="DA25" i="13" s="1"/>
  <c r="CY25" i="13"/>
  <c r="DB20" i="13"/>
  <c r="DD20" i="13" s="1"/>
  <c r="BE20" i="13"/>
  <c r="CX25" i="13"/>
  <c r="BE21" i="13"/>
  <c r="DB21" i="13"/>
  <c r="DD21" i="13" s="1"/>
  <c r="BE24" i="13"/>
  <c r="DB24" i="13"/>
  <c r="DD24" i="13" s="1"/>
  <c r="AF46" i="1"/>
  <c r="AF48" i="1" s="1"/>
  <c r="AT8" i="13"/>
  <c r="AV8" i="13" s="1"/>
  <c r="CX8" i="13" s="1"/>
  <c r="CQ8" i="13"/>
  <c r="P34" i="15"/>
  <c r="P45" i="15"/>
  <c r="AG34" i="13"/>
  <c r="Q38" i="13"/>
  <c r="S38" i="13"/>
  <c r="U38" i="13"/>
  <c r="W38" i="13"/>
  <c r="AG38" i="13"/>
  <c r="U26" i="13"/>
  <c r="W26" i="13"/>
  <c r="Y26" i="13"/>
  <c r="AC26" i="13"/>
  <c r="AE26" i="13"/>
  <c r="AG26" i="13"/>
  <c r="P24" i="15"/>
  <c r="Q35" i="13"/>
  <c r="S35" i="13"/>
  <c r="U35" i="13"/>
  <c r="Y35" i="13"/>
  <c r="AA35" i="13"/>
  <c r="AE35" i="13"/>
  <c r="AG35" i="13"/>
  <c r="P33" i="15"/>
  <c r="S26" i="13"/>
  <c r="P32" i="15"/>
  <c r="W46" i="1"/>
  <c r="P31" i="15"/>
  <c r="P46" i="1"/>
  <c r="AC33" i="13"/>
  <c r="AE33" i="13"/>
  <c r="AA36" i="13"/>
  <c r="AG33" i="13"/>
  <c r="AA38" i="13"/>
  <c r="AC38" i="13"/>
  <c r="AE36" i="13"/>
  <c r="AC35" i="13"/>
  <c r="AA33" i="13"/>
  <c r="AC34" i="13"/>
  <c r="AA34" i="13"/>
  <c r="AC36" i="13"/>
  <c r="Y34" i="13"/>
  <c r="AA8" i="13"/>
  <c r="Y36" i="13"/>
  <c r="W33" i="13"/>
  <c r="Y33" i="13"/>
  <c r="W34" i="13"/>
  <c r="W35" i="13"/>
  <c r="Q33" i="13"/>
  <c r="S33" i="13"/>
  <c r="U33" i="13"/>
  <c r="W36" i="13"/>
  <c r="U34" i="13"/>
  <c r="S34" i="13"/>
  <c r="U36" i="13"/>
  <c r="Q36" i="13"/>
  <c r="S36" i="13"/>
  <c r="Q34" i="13"/>
  <c r="Q8" i="13"/>
  <c r="BN31" i="13" l="1"/>
  <c r="DI31" i="13"/>
  <c r="DJ31" i="13" s="1"/>
  <c r="DF30" i="13"/>
  <c r="BF30" i="13"/>
  <c r="BG30" i="13" s="1"/>
  <c r="BK30" i="13"/>
  <c r="BL30" i="13" s="1"/>
  <c r="BN29" i="13"/>
  <c r="DI29" i="13"/>
  <c r="DJ29" i="13" s="1"/>
  <c r="DG29" i="13"/>
  <c r="BI29" i="13"/>
  <c r="BW29" i="13" s="1"/>
  <c r="BN27" i="13"/>
  <c r="DG27" i="13"/>
  <c r="BI27" i="13"/>
  <c r="BW27" i="13" s="1"/>
  <c r="DI27" i="13"/>
  <c r="DJ27" i="13" s="1"/>
  <c r="S30" i="15"/>
  <c r="M31" i="13" s="1"/>
  <c r="AI31" i="13" s="1"/>
  <c r="Q30" i="15"/>
  <c r="T30" i="15"/>
  <c r="BE22" i="13"/>
  <c r="DB22" i="13"/>
  <c r="DD22" i="13" s="1"/>
  <c r="BC25" i="13"/>
  <c r="DB23" i="13"/>
  <c r="DD23" i="13" s="1"/>
  <c r="BE23" i="13"/>
  <c r="BK20" i="13"/>
  <c r="BL20" i="13" s="1"/>
  <c r="BF20" i="13"/>
  <c r="BG20" i="13" s="1"/>
  <c r="DF20" i="13"/>
  <c r="BK37" i="13"/>
  <c r="BL37" i="13" s="1"/>
  <c r="BF37" i="13"/>
  <c r="BG37" i="13" s="1"/>
  <c r="DF37" i="13"/>
  <c r="BK24" i="13"/>
  <c r="BL24" i="13" s="1"/>
  <c r="BF24" i="13"/>
  <c r="BG24" i="13" s="1"/>
  <c r="DF24" i="13"/>
  <c r="BK21" i="13"/>
  <c r="BL21" i="13" s="1"/>
  <c r="DF21" i="13"/>
  <c r="BF21" i="13"/>
  <c r="BG21" i="13" s="1"/>
  <c r="P7" i="15"/>
  <c r="BK46" i="1"/>
  <c r="AE38" i="13"/>
  <c r="AG36" i="13"/>
  <c r="AE34" i="13"/>
  <c r="R46" i="1"/>
  <c r="P46" i="15" l="1"/>
  <c r="U30" i="15"/>
  <c r="BI30" i="13"/>
  <c r="BW30" i="13" s="1"/>
  <c r="DI30" i="13"/>
  <c r="DJ30" i="13" s="1"/>
  <c r="BN30" i="13"/>
  <c r="DG30" i="13"/>
  <c r="BN20" i="13"/>
  <c r="DG20" i="13"/>
  <c r="BI20" i="13"/>
  <c r="BW20" i="13" s="1"/>
  <c r="DI20" i="13"/>
  <c r="DJ20" i="13" s="1"/>
  <c r="DB25" i="13"/>
  <c r="DD25" i="13" s="1"/>
  <c r="BE25" i="13"/>
  <c r="DG37" i="13"/>
  <c r="BN37" i="13"/>
  <c r="DI37" i="13"/>
  <c r="DJ37" i="13" s="1"/>
  <c r="DI21" i="13"/>
  <c r="DJ21" i="13" s="1"/>
  <c r="BN21" i="13"/>
  <c r="DG21" i="13"/>
  <c r="BI21" i="13"/>
  <c r="BW21" i="13" s="1"/>
  <c r="BN24" i="13"/>
  <c r="DG24" i="13"/>
  <c r="BI24" i="13"/>
  <c r="BW24" i="13" s="1"/>
  <c r="DI24" i="13"/>
  <c r="DJ24" i="13" s="1"/>
  <c r="BF23" i="13"/>
  <c r="BG23" i="13" s="1"/>
  <c r="DF23" i="13"/>
  <c r="BK23" i="13"/>
  <c r="BL23" i="13" s="1"/>
  <c r="BF22" i="13"/>
  <c r="BG22" i="13" s="1"/>
  <c r="DF22" i="13"/>
  <c r="BK22" i="13"/>
  <c r="BL22" i="13" s="1"/>
  <c r="Q35" i="15"/>
  <c r="R35" i="15" s="1"/>
  <c r="S35" i="15" s="1"/>
  <c r="M36" i="13" s="1"/>
  <c r="T35" i="15"/>
  <c r="BV16" i="13"/>
  <c r="BV35" i="13"/>
  <c r="BV26" i="13"/>
  <c r="CQ12" i="13"/>
  <c r="BV12" i="13"/>
  <c r="BV38" i="13"/>
  <c r="BV10" i="13"/>
  <c r="BV9" i="13"/>
  <c r="BV14" i="13"/>
  <c r="BV11" i="13"/>
  <c r="CQ19" i="13"/>
  <c r="BV19" i="13"/>
  <c r="BV17" i="13"/>
  <c r="BV36" i="13"/>
  <c r="BV34" i="13"/>
  <c r="BV33" i="13"/>
  <c r="BV18" i="13"/>
  <c r="BV15" i="13"/>
  <c r="BV13" i="13"/>
  <c r="AD46" i="15"/>
  <c r="Q26" i="13"/>
  <c r="AA26" i="13"/>
  <c r="BM46" i="15"/>
  <c r="W8" i="13"/>
  <c r="AY46" i="15"/>
  <c r="AE8" i="13"/>
  <c r="CA46" i="15"/>
  <c r="Y8" i="13"/>
  <c r="BF46" i="15"/>
  <c r="AG8" i="13"/>
  <c r="CH46" i="15"/>
  <c r="U8" i="13"/>
  <c r="AR46" i="15"/>
  <c r="AC8" i="13"/>
  <c r="BT46" i="15"/>
  <c r="S8" i="13"/>
  <c r="AK46" i="15"/>
  <c r="CO46" i="15"/>
  <c r="AG46" i="1"/>
  <c r="N31" i="13" l="1"/>
  <c r="AJ31" i="13" s="1"/>
  <c r="BH31" i="13" s="1"/>
  <c r="BI31" i="13" s="1"/>
  <c r="BW31" i="13" s="1"/>
  <c r="U35" i="15"/>
  <c r="BN23" i="13"/>
  <c r="BI23" i="13"/>
  <c r="BW23" i="13" s="1"/>
  <c r="DI23" i="13"/>
  <c r="DJ23" i="13" s="1"/>
  <c r="DG23" i="13"/>
  <c r="DF25" i="13"/>
  <c r="BK25" i="13"/>
  <c r="BL25" i="13" s="1"/>
  <c r="BF25" i="13"/>
  <c r="BG25" i="13" s="1"/>
  <c r="DI22" i="13"/>
  <c r="DJ22" i="13" s="1"/>
  <c r="BN22" i="13"/>
  <c r="DG22" i="13"/>
  <c r="BI22" i="13"/>
  <c r="BW22" i="13" s="1"/>
  <c r="AI37" i="13"/>
  <c r="CZ17" i="13"/>
  <c r="CZ34" i="13"/>
  <c r="CZ13" i="13"/>
  <c r="CQ18" i="13"/>
  <c r="CQ33" i="13"/>
  <c r="CQ36" i="13"/>
  <c r="CQ10" i="13"/>
  <c r="CQ17" i="13"/>
  <c r="CQ26" i="13"/>
  <c r="CQ35" i="13"/>
  <c r="CQ14" i="13"/>
  <c r="CQ9" i="13"/>
  <c r="CQ38" i="13"/>
  <c r="CQ15" i="13"/>
  <c r="CQ34" i="13"/>
  <c r="CZ38" i="13"/>
  <c r="CQ13" i="13"/>
  <c r="CQ11" i="13"/>
  <c r="CQ16" i="13"/>
  <c r="BV39" i="13"/>
  <c r="CZ12" i="13"/>
  <c r="CZ26" i="13"/>
  <c r="CZ35" i="13"/>
  <c r="AL46" i="1"/>
  <c r="AK46" i="1"/>
  <c r="AJ37" i="13" l="1"/>
  <c r="BH37" i="13" s="1"/>
  <c r="BI37" i="13" s="1"/>
  <c r="BW37" i="13" s="1"/>
  <c r="N36" i="13"/>
  <c r="DI25" i="13"/>
  <c r="DJ25" i="13" s="1"/>
  <c r="BN25" i="13"/>
  <c r="DG25" i="13"/>
  <c r="CX13" i="13"/>
  <c r="AW35" i="13"/>
  <c r="AV35" i="13"/>
  <c r="CX35" i="13" s="1"/>
  <c r="CX15" i="13"/>
  <c r="CX11" i="13"/>
  <c r="AV26" i="13"/>
  <c r="CX26" i="13" s="1"/>
  <c r="AW26" i="13"/>
  <c r="CY17" i="13"/>
  <c r="CX17" i="13"/>
  <c r="AW34" i="13"/>
  <c r="AV34" i="13"/>
  <c r="CX34" i="13" s="1"/>
  <c r="CX10" i="13"/>
  <c r="CX19" i="13"/>
  <c r="AV36" i="13"/>
  <c r="CX36" i="13" s="1"/>
  <c r="AW36" i="13"/>
  <c r="CY36" i="13" s="1"/>
  <c r="AV38" i="13"/>
  <c r="CX38" i="13" s="1"/>
  <c r="AW38" i="13"/>
  <c r="AW33" i="13"/>
  <c r="AV33" i="13"/>
  <c r="CX12" i="13"/>
  <c r="CY12" i="13"/>
  <c r="CX9" i="13"/>
  <c r="CY9" i="13"/>
  <c r="CY18" i="13"/>
  <c r="CX18" i="13"/>
  <c r="CX14" i="13"/>
  <c r="CZ10" i="13"/>
  <c r="CZ36" i="13"/>
  <c r="CZ15" i="13"/>
  <c r="CZ33" i="13"/>
  <c r="CZ14" i="13"/>
  <c r="CZ11" i="13"/>
  <c r="CZ16" i="13"/>
  <c r="CZ9" i="13"/>
  <c r="CZ19" i="13"/>
  <c r="AX26" i="13" l="1"/>
  <c r="BB26" i="13" s="1"/>
  <c r="BC26" i="13" s="1"/>
  <c r="BE26" i="13" s="1"/>
  <c r="AX34" i="13"/>
  <c r="BB34" i="13" s="1"/>
  <c r="BC34" i="13" s="1"/>
  <c r="AX33" i="13"/>
  <c r="BB33" i="13" s="1"/>
  <c r="DA33" i="13" s="1"/>
  <c r="CY33" i="13"/>
  <c r="AX38" i="13"/>
  <c r="BB38" i="13" s="1"/>
  <c r="AX36" i="13"/>
  <c r="BB36" i="13" s="1"/>
  <c r="DA36" i="13" s="1"/>
  <c r="AX35" i="13"/>
  <c r="BB35" i="13" s="1"/>
  <c r="BC35" i="13" s="1"/>
  <c r="CX33" i="13"/>
  <c r="BE19" i="13"/>
  <c r="CY38" i="13"/>
  <c r="CY26" i="13"/>
  <c r="CX16" i="13"/>
  <c r="CY11" i="13"/>
  <c r="CZ18" i="13"/>
  <c r="CY14" i="13"/>
  <c r="CY16" i="13"/>
  <c r="CY13" i="13"/>
  <c r="CY15" i="13"/>
  <c r="CY35" i="13"/>
  <c r="CY19" i="13"/>
  <c r="CY10" i="13"/>
  <c r="CY34" i="13"/>
  <c r="BC36" i="13" l="1"/>
  <c r="DA16" i="13"/>
  <c r="BC33" i="13"/>
  <c r="BE33" i="13" s="1"/>
  <c r="BF33" i="13" s="1"/>
  <c r="DB16" i="13"/>
  <c r="DD16" i="13" s="1"/>
  <c r="BC38" i="13"/>
  <c r="DA38" i="13"/>
  <c r="BK19" i="13"/>
  <c r="BL19" i="13" s="1"/>
  <c r="BF19" i="13"/>
  <c r="DA17" i="13"/>
  <c r="BK26" i="13"/>
  <c r="BL26" i="13" s="1"/>
  <c r="BF26" i="13"/>
  <c r="DA9" i="13"/>
  <c r="DB36" i="13"/>
  <c r="DD36" i="13" s="1"/>
  <c r="DB19" i="13"/>
  <c r="DD19" i="13" s="1"/>
  <c r="DA19" i="13"/>
  <c r="DB10" i="13"/>
  <c r="DD10" i="13" s="1"/>
  <c r="DA10" i="13"/>
  <c r="DB14" i="13"/>
  <c r="DD14" i="13" s="1"/>
  <c r="DA14" i="13"/>
  <c r="DB18" i="13"/>
  <c r="DD18" i="13" s="1"/>
  <c r="DA18" i="13"/>
  <c r="DB26" i="13"/>
  <c r="DD26" i="13" s="1"/>
  <c r="DA26" i="13"/>
  <c r="DB35" i="13"/>
  <c r="DD35" i="13" s="1"/>
  <c r="DA35" i="13"/>
  <c r="DB15" i="13"/>
  <c r="DD15" i="13" s="1"/>
  <c r="DA15" i="13"/>
  <c r="DB11" i="13"/>
  <c r="DD11" i="13" s="1"/>
  <c r="DA11" i="13"/>
  <c r="DB12" i="13"/>
  <c r="DD12" i="13" s="1"/>
  <c r="DA12" i="13"/>
  <c r="DB13" i="13"/>
  <c r="DD13" i="13" s="1"/>
  <c r="DA13" i="13"/>
  <c r="DB34" i="13"/>
  <c r="DD34" i="13" s="1"/>
  <c r="DA34" i="13"/>
  <c r="W46" i="15"/>
  <c r="BK33" i="13" l="1"/>
  <c r="BL33" i="13" s="1"/>
  <c r="DB33" i="13"/>
  <c r="DD33" i="13" s="1"/>
  <c r="DB17" i="13"/>
  <c r="DD17" i="13" s="1"/>
  <c r="DB9" i="13"/>
  <c r="DD9" i="13" s="1"/>
  <c r="DB38" i="13"/>
  <c r="DD38" i="13" s="1"/>
  <c r="L34" i="15"/>
  <c r="L33" i="15"/>
  <c r="L32" i="15"/>
  <c r="L31" i="15"/>
  <c r="L24" i="15"/>
  <c r="L17" i="15"/>
  <c r="L16" i="15"/>
  <c r="L15" i="15"/>
  <c r="L14" i="15"/>
  <c r="L13" i="15"/>
  <c r="L12" i="15"/>
  <c r="L11" i="15"/>
  <c r="L10" i="15"/>
  <c r="L9" i="15"/>
  <c r="L8" i="15"/>
  <c r="L7" i="15"/>
  <c r="Q39" i="13"/>
  <c r="S39" i="13"/>
  <c r="U39" i="13"/>
  <c r="W39" i="13"/>
  <c r="Y39" i="13"/>
  <c r="AA39" i="13"/>
  <c r="AC39" i="13"/>
  <c r="AE39" i="13"/>
  <c r="AG39" i="13"/>
  <c r="BD9" i="13"/>
  <c r="DE9" i="13" s="1"/>
  <c r="BD10" i="13"/>
  <c r="BD11" i="13"/>
  <c r="BD12" i="13"/>
  <c r="BD13" i="13"/>
  <c r="BD14" i="13"/>
  <c r="BD15" i="13"/>
  <c r="BD16" i="13"/>
  <c r="BD17" i="13"/>
  <c r="DE17" i="13" s="1"/>
  <c r="BD18" i="13"/>
  <c r="BD34" i="13"/>
  <c r="BD35" i="13"/>
  <c r="BD36" i="13"/>
  <c r="DE36" i="13" s="1"/>
  <c r="BD38" i="13"/>
  <c r="DE38" i="13" s="1"/>
  <c r="AU39" i="13"/>
  <c r="AS39" i="13"/>
  <c r="AO39" i="13"/>
  <c r="BD8" i="13"/>
  <c r="DE8" i="13" s="1"/>
  <c r="G8" i="13"/>
  <c r="DE18" i="13" l="1"/>
  <c r="BE18" i="13"/>
  <c r="DF18" i="13" s="1"/>
  <c r="DE15" i="13"/>
  <c r="BE15" i="13"/>
  <c r="DF15" i="13" s="1"/>
  <c r="DE13" i="13"/>
  <c r="BE13" i="13"/>
  <c r="DE11" i="13"/>
  <c r="BE11" i="13"/>
  <c r="DF11" i="13" s="1"/>
  <c r="DE10" i="13"/>
  <c r="BE10" i="13"/>
  <c r="DF10" i="13" s="1"/>
  <c r="BE9" i="13"/>
  <c r="BK9" i="13" s="1"/>
  <c r="BL9" i="13" s="1"/>
  <c r="DE16" i="13"/>
  <c r="BE16" i="13"/>
  <c r="DE14" i="13"/>
  <c r="BE14" i="13"/>
  <c r="DF14" i="13" s="1"/>
  <c r="DE12" i="13"/>
  <c r="BE12" i="13"/>
  <c r="DF12" i="13" s="1"/>
  <c r="BE17" i="13"/>
  <c r="BF17" i="13" s="1"/>
  <c r="BG17" i="13" s="1"/>
  <c r="BE38" i="13"/>
  <c r="BK38" i="13" s="1"/>
  <c r="BL38" i="13" s="1"/>
  <c r="DE35" i="13"/>
  <c r="BE35" i="13"/>
  <c r="DF35" i="13" s="1"/>
  <c r="DE34" i="13"/>
  <c r="BE34" i="13"/>
  <c r="BE36" i="13"/>
  <c r="DF36" i="13" s="1"/>
  <c r="BG19" i="13"/>
  <c r="DF19" i="13"/>
  <c r="BG33" i="13"/>
  <c r="DF33" i="13"/>
  <c r="BG26" i="13"/>
  <c r="DF26" i="13"/>
  <c r="CS31" i="15"/>
  <c r="CP31" i="15"/>
  <c r="CQ31" i="15" s="1"/>
  <c r="CS32" i="15"/>
  <c r="CP32" i="15"/>
  <c r="CQ32" i="15" s="1"/>
  <c r="CP7" i="15"/>
  <c r="CQ7" i="15" s="1"/>
  <c r="CS7" i="15"/>
  <c r="CP33" i="15"/>
  <c r="CQ33" i="15" s="1"/>
  <c r="CS33" i="15"/>
  <c r="CS8" i="15"/>
  <c r="CP8" i="15"/>
  <c r="CQ8" i="15" s="1"/>
  <c r="AM9" i="13" s="1"/>
  <c r="CP9" i="15"/>
  <c r="CQ9" i="15" s="1"/>
  <c r="AM10" i="13" s="1"/>
  <c r="CS9" i="15"/>
  <c r="CP16" i="15"/>
  <c r="CQ16" i="15" s="1"/>
  <c r="AM17" i="13" s="1"/>
  <c r="CS16" i="15"/>
  <c r="CS34" i="15"/>
  <c r="CP34" i="15"/>
  <c r="CQ34" i="15" s="1"/>
  <c r="CP14" i="15"/>
  <c r="CQ14" i="15" s="1"/>
  <c r="AM15" i="13" s="1"/>
  <c r="CS14" i="15"/>
  <c r="CS15" i="15"/>
  <c r="CP15" i="15"/>
  <c r="CQ15" i="15" s="1"/>
  <c r="AM16" i="13" s="1"/>
  <c r="CP10" i="15"/>
  <c r="CQ10" i="15" s="1"/>
  <c r="AM11" i="13" s="1"/>
  <c r="CS10" i="15"/>
  <c r="CS17" i="15"/>
  <c r="CP17" i="15"/>
  <c r="CQ17" i="15" s="1"/>
  <c r="AM18" i="13" s="1"/>
  <c r="CS13" i="15"/>
  <c r="CP13" i="15"/>
  <c r="CQ13" i="15" s="1"/>
  <c r="AM14" i="13" s="1"/>
  <c r="CS45" i="15"/>
  <c r="CP45" i="15"/>
  <c r="CQ45" i="15" s="1"/>
  <c r="CS12" i="15"/>
  <c r="CP12" i="15"/>
  <c r="CQ12" i="15" s="1"/>
  <c r="AM13" i="13" s="1"/>
  <c r="CS11" i="15"/>
  <c r="CP11" i="15"/>
  <c r="CQ11" i="15" s="1"/>
  <c r="AM12" i="13" s="1"/>
  <c r="CS24" i="15"/>
  <c r="CP24" i="15"/>
  <c r="CQ24" i="15" s="1"/>
  <c r="AM25" i="13" s="1"/>
  <c r="CL12" i="15"/>
  <c r="CI12" i="15"/>
  <c r="CJ12" i="15" s="1"/>
  <c r="CK12" i="15" s="1"/>
  <c r="CI31" i="15"/>
  <c r="CJ31" i="15" s="1"/>
  <c r="CK31" i="15" s="1"/>
  <c r="CL31" i="15"/>
  <c r="CI13" i="15"/>
  <c r="CJ13" i="15" s="1"/>
  <c r="CK13" i="15" s="1"/>
  <c r="CL13" i="15"/>
  <c r="CI32" i="15"/>
  <c r="CJ32" i="15" s="1"/>
  <c r="CK32" i="15" s="1"/>
  <c r="CL32" i="15"/>
  <c r="CI7" i="15"/>
  <c r="CJ7" i="15" s="1"/>
  <c r="CK7" i="15" s="1"/>
  <c r="CL7" i="15"/>
  <c r="CL33" i="15"/>
  <c r="CI33" i="15"/>
  <c r="CJ33" i="15" s="1"/>
  <c r="CK33" i="15" s="1"/>
  <c r="CL14" i="15"/>
  <c r="CI14" i="15"/>
  <c r="CJ14" i="15" s="1"/>
  <c r="CK14" i="15" s="1"/>
  <c r="CL8" i="15"/>
  <c r="CI8" i="15"/>
  <c r="CJ8" i="15" s="1"/>
  <c r="CL15" i="15"/>
  <c r="CI15" i="15"/>
  <c r="CJ15" i="15" s="1"/>
  <c r="CK15" i="15" s="1"/>
  <c r="CI9" i="15"/>
  <c r="CJ9" i="15" s="1"/>
  <c r="CK9" i="15" s="1"/>
  <c r="CL9" i="15"/>
  <c r="CL16" i="15"/>
  <c r="CI16" i="15"/>
  <c r="CJ16" i="15" s="1"/>
  <c r="CK16" i="15" s="1"/>
  <c r="CL34" i="15"/>
  <c r="CI34" i="15"/>
  <c r="CJ34" i="15" s="1"/>
  <c r="CK34" i="15" s="1"/>
  <c r="CI10" i="15"/>
  <c r="CJ10" i="15" s="1"/>
  <c r="CK10" i="15" s="1"/>
  <c r="CL10" i="15"/>
  <c r="CI17" i="15"/>
  <c r="CJ17" i="15" s="1"/>
  <c r="CK17" i="15" s="1"/>
  <c r="CL17" i="15"/>
  <c r="CL45" i="15"/>
  <c r="CI45" i="15"/>
  <c r="CJ45" i="15" s="1"/>
  <c r="CK45" i="15" s="1"/>
  <c r="CL11" i="15"/>
  <c r="CI11" i="15"/>
  <c r="CJ11" i="15" s="1"/>
  <c r="CK11" i="15" s="1"/>
  <c r="CL24" i="15"/>
  <c r="CI24" i="15"/>
  <c r="CJ24" i="15" s="1"/>
  <c r="CK24" i="15" s="1"/>
  <c r="CB12" i="15"/>
  <c r="CC12" i="15" s="1"/>
  <c r="CD12" i="15" s="1"/>
  <c r="CE12" i="15"/>
  <c r="CB31" i="15"/>
  <c r="CC31" i="15" s="1"/>
  <c r="CD31" i="15" s="1"/>
  <c r="CE31" i="15"/>
  <c r="CE32" i="15"/>
  <c r="CB32" i="15"/>
  <c r="CC32" i="15" s="1"/>
  <c r="CD32" i="15" s="1"/>
  <c r="CE33" i="15"/>
  <c r="CB33" i="15"/>
  <c r="CC33" i="15" s="1"/>
  <c r="CD33" i="15" s="1"/>
  <c r="CB8" i="15"/>
  <c r="CC8" i="15" s="1"/>
  <c r="CE8" i="15"/>
  <c r="CB9" i="15"/>
  <c r="CC9" i="15" s="1"/>
  <c r="CD9" i="15" s="1"/>
  <c r="CE9" i="15"/>
  <c r="CE16" i="15"/>
  <c r="CB16" i="15"/>
  <c r="CC16" i="15" s="1"/>
  <c r="CD16" i="15" s="1"/>
  <c r="CE34" i="15"/>
  <c r="CB34" i="15"/>
  <c r="CC34" i="15" s="1"/>
  <c r="CD34" i="15" s="1"/>
  <c r="CE17" i="15"/>
  <c r="CB17" i="15"/>
  <c r="CC17" i="15" s="1"/>
  <c r="CD17" i="15" s="1"/>
  <c r="CE45" i="15"/>
  <c r="CB45" i="15"/>
  <c r="CC45" i="15" s="1"/>
  <c r="CD45" i="15" s="1"/>
  <c r="CB13" i="15"/>
  <c r="CC13" i="15" s="1"/>
  <c r="CD13" i="15" s="1"/>
  <c r="CE13" i="15"/>
  <c r="CE14" i="15"/>
  <c r="CB14" i="15"/>
  <c r="CC14" i="15" s="1"/>
  <c r="CD14" i="15" s="1"/>
  <c r="CE7" i="15"/>
  <c r="CB7" i="15"/>
  <c r="CC7" i="15" s="1"/>
  <c r="CD7" i="15" s="1"/>
  <c r="CB15" i="15"/>
  <c r="CC15" i="15" s="1"/>
  <c r="CD15" i="15" s="1"/>
  <c r="CE15" i="15"/>
  <c r="CB10" i="15"/>
  <c r="CC10" i="15" s="1"/>
  <c r="CD10" i="15" s="1"/>
  <c r="CE10" i="15"/>
  <c r="CE11" i="15"/>
  <c r="CB11" i="15"/>
  <c r="CC11" i="15" s="1"/>
  <c r="CD11" i="15" s="1"/>
  <c r="CE24" i="15"/>
  <c r="CB24" i="15"/>
  <c r="CC24" i="15" s="1"/>
  <c r="CD24" i="15" s="1"/>
  <c r="BX8" i="15"/>
  <c r="BU8" i="15"/>
  <c r="BV8" i="15" s="1"/>
  <c r="BU34" i="15"/>
  <c r="BV34" i="15" s="1"/>
  <c r="BW34" i="15" s="1"/>
  <c r="BX34" i="15"/>
  <c r="BU31" i="15"/>
  <c r="BV31" i="15" s="1"/>
  <c r="BW31" i="15" s="1"/>
  <c r="BX31" i="15"/>
  <c r="BX14" i="15"/>
  <c r="BU14" i="15"/>
  <c r="BV14" i="15" s="1"/>
  <c r="BW14" i="15" s="1"/>
  <c r="BU7" i="15"/>
  <c r="BV7" i="15" s="1"/>
  <c r="BW7" i="15" s="1"/>
  <c r="BX7" i="15"/>
  <c r="BX33" i="15"/>
  <c r="BU33" i="15"/>
  <c r="BV33" i="15" s="1"/>
  <c r="BW33" i="15" s="1"/>
  <c r="BX16" i="15"/>
  <c r="BU16" i="15"/>
  <c r="BV16" i="15" s="1"/>
  <c r="BW16" i="15" s="1"/>
  <c r="BX10" i="15"/>
  <c r="BU10" i="15"/>
  <c r="BV10" i="15" s="1"/>
  <c r="BW10" i="15" s="1"/>
  <c r="BU17" i="15"/>
  <c r="BV17" i="15" s="1"/>
  <c r="BW17" i="15" s="1"/>
  <c r="BX17" i="15"/>
  <c r="BX45" i="15"/>
  <c r="BU45" i="15"/>
  <c r="BV45" i="15" s="1"/>
  <c r="BW45" i="15" s="1"/>
  <c r="BU12" i="15"/>
  <c r="BV12" i="15" s="1"/>
  <c r="BW12" i="15" s="1"/>
  <c r="BX12" i="15"/>
  <c r="BX13" i="15"/>
  <c r="BU13" i="15"/>
  <c r="BV13" i="15" s="1"/>
  <c r="BW13" i="15" s="1"/>
  <c r="BU32" i="15"/>
  <c r="BV32" i="15" s="1"/>
  <c r="BW32" i="15" s="1"/>
  <c r="BX32" i="15"/>
  <c r="BU15" i="15"/>
  <c r="BV15" i="15" s="1"/>
  <c r="BW15" i="15" s="1"/>
  <c r="BX15" i="15"/>
  <c r="BX9" i="15"/>
  <c r="BU9" i="15"/>
  <c r="BV9" i="15" s="1"/>
  <c r="BW9" i="15" s="1"/>
  <c r="BX11" i="15"/>
  <c r="BU11" i="15"/>
  <c r="BV11" i="15" s="1"/>
  <c r="BW11" i="15" s="1"/>
  <c r="BX24" i="15"/>
  <c r="BU24" i="15"/>
  <c r="BV24" i="15" s="1"/>
  <c r="BW24" i="15" s="1"/>
  <c r="BQ24" i="15"/>
  <c r="BN24" i="15"/>
  <c r="BO24" i="15" s="1"/>
  <c r="BP24" i="15" s="1"/>
  <c r="BN12" i="15"/>
  <c r="BO12" i="15" s="1"/>
  <c r="BP12" i="15" s="1"/>
  <c r="BQ12" i="15"/>
  <c r="BQ13" i="15"/>
  <c r="BN13" i="15"/>
  <c r="BO13" i="15" s="1"/>
  <c r="BP13" i="15" s="1"/>
  <c r="BN32" i="15"/>
  <c r="BO32" i="15" s="1"/>
  <c r="BP32" i="15" s="1"/>
  <c r="BQ32" i="15"/>
  <c r="BQ34" i="15"/>
  <c r="BN34" i="15"/>
  <c r="BO34" i="15" s="1"/>
  <c r="BP34" i="15" s="1"/>
  <c r="BN9" i="15"/>
  <c r="BO9" i="15" s="1"/>
  <c r="BP9" i="15" s="1"/>
  <c r="BQ9" i="15"/>
  <c r="BN10" i="15"/>
  <c r="BO10" i="15" s="1"/>
  <c r="BP10" i="15" s="1"/>
  <c r="BQ10" i="15"/>
  <c r="BN17" i="15"/>
  <c r="BO17" i="15" s="1"/>
  <c r="BP17" i="15" s="1"/>
  <c r="BQ17" i="15"/>
  <c r="BQ11" i="15"/>
  <c r="BN11" i="15"/>
  <c r="BO11" i="15" s="1"/>
  <c r="BP11" i="15" s="1"/>
  <c r="BN31" i="15"/>
  <c r="BO31" i="15" s="1"/>
  <c r="BP31" i="15" s="1"/>
  <c r="BQ31" i="15"/>
  <c r="BQ14" i="15"/>
  <c r="BN14" i="15"/>
  <c r="BO14" i="15" s="1"/>
  <c r="BP14" i="15" s="1"/>
  <c r="BQ7" i="15"/>
  <c r="BN7" i="15"/>
  <c r="BO7" i="15" s="1"/>
  <c r="BP7" i="15" s="1"/>
  <c r="BQ33" i="15"/>
  <c r="BN33" i="15"/>
  <c r="BO33" i="15" s="1"/>
  <c r="BP33" i="15" s="1"/>
  <c r="BQ8" i="15"/>
  <c r="BN8" i="15"/>
  <c r="BO8" i="15" s="1"/>
  <c r="BQ15" i="15"/>
  <c r="BN15" i="15"/>
  <c r="BO15" i="15" s="1"/>
  <c r="BP15" i="15" s="1"/>
  <c r="BQ16" i="15"/>
  <c r="BN16" i="15"/>
  <c r="BO16" i="15" s="1"/>
  <c r="BP16" i="15" s="1"/>
  <c r="BQ45" i="15"/>
  <c r="BN45" i="15"/>
  <c r="BO45" i="15" s="1"/>
  <c r="BP45" i="15" s="1"/>
  <c r="BG31" i="15"/>
  <c r="BH31" i="15" s="1"/>
  <c r="BI31" i="15" s="1"/>
  <c r="BJ31" i="15"/>
  <c r="BG32" i="15"/>
  <c r="BH32" i="15" s="1"/>
  <c r="BI32" i="15" s="1"/>
  <c r="BJ32" i="15"/>
  <c r="BG7" i="15"/>
  <c r="BH7" i="15" s="1"/>
  <c r="BI7" i="15" s="1"/>
  <c r="BJ7" i="15"/>
  <c r="BJ33" i="15"/>
  <c r="BG33" i="15"/>
  <c r="BH33" i="15" s="1"/>
  <c r="BI33" i="15" s="1"/>
  <c r="BG13" i="15"/>
  <c r="BH13" i="15" s="1"/>
  <c r="BI13" i="15" s="1"/>
  <c r="BJ13" i="15"/>
  <c r="BG8" i="15"/>
  <c r="BH8" i="15" s="1"/>
  <c r="BJ8" i="15"/>
  <c r="BG15" i="15"/>
  <c r="BH15" i="15" s="1"/>
  <c r="BI15" i="15" s="1"/>
  <c r="BJ15" i="15"/>
  <c r="BJ14" i="15"/>
  <c r="BG14" i="15"/>
  <c r="BH14" i="15" s="1"/>
  <c r="BI14" i="15" s="1"/>
  <c r="BJ34" i="15"/>
  <c r="BG34" i="15"/>
  <c r="BH34" i="15" s="1"/>
  <c r="BI34" i="15" s="1"/>
  <c r="BJ10" i="15"/>
  <c r="BG10" i="15"/>
  <c r="BH10" i="15" s="1"/>
  <c r="BI10" i="15" s="1"/>
  <c r="BG17" i="15"/>
  <c r="BH17" i="15" s="1"/>
  <c r="BI17" i="15" s="1"/>
  <c r="BJ17" i="15"/>
  <c r="BG12" i="15"/>
  <c r="BH12" i="15" s="1"/>
  <c r="BI12" i="15" s="1"/>
  <c r="BJ12" i="15"/>
  <c r="BG9" i="15"/>
  <c r="BH9" i="15" s="1"/>
  <c r="BI9" i="15" s="1"/>
  <c r="BJ9" i="15"/>
  <c r="BJ45" i="15"/>
  <c r="BG45" i="15"/>
  <c r="BH45" i="15" s="1"/>
  <c r="BI45" i="15" s="1"/>
  <c r="BG16" i="15"/>
  <c r="BH16" i="15" s="1"/>
  <c r="BI16" i="15" s="1"/>
  <c r="BJ16" i="15"/>
  <c r="BJ11" i="15"/>
  <c r="BG11" i="15"/>
  <c r="BH11" i="15" s="1"/>
  <c r="BI11" i="15" s="1"/>
  <c r="BJ24" i="15"/>
  <c r="BG24" i="15"/>
  <c r="BH24" i="15" s="1"/>
  <c r="BI24" i="15" s="1"/>
  <c r="AZ12" i="15"/>
  <c r="BA12" i="15" s="1"/>
  <c r="BB12" i="15" s="1"/>
  <c r="BC12" i="15"/>
  <c r="AZ31" i="15"/>
  <c r="BA31" i="15" s="1"/>
  <c r="BB31" i="15" s="1"/>
  <c r="BC31" i="15"/>
  <c r="BC14" i="15"/>
  <c r="AZ14" i="15"/>
  <c r="BA14" i="15" s="1"/>
  <c r="BB14" i="15" s="1"/>
  <c r="AZ32" i="15"/>
  <c r="BA32" i="15" s="1"/>
  <c r="BB32" i="15" s="1"/>
  <c r="BC32" i="15"/>
  <c r="AZ7" i="15"/>
  <c r="BA7" i="15" s="1"/>
  <c r="BB7" i="15" s="1"/>
  <c r="BC7" i="15"/>
  <c r="BC33" i="15"/>
  <c r="AZ33" i="15"/>
  <c r="BA33" i="15" s="1"/>
  <c r="BB33" i="15" s="1"/>
  <c r="BC8" i="15"/>
  <c r="AZ8" i="15"/>
  <c r="BA8" i="15" s="1"/>
  <c r="BC15" i="15"/>
  <c r="AZ15" i="15"/>
  <c r="BA15" i="15" s="1"/>
  <c r="BB15" i="15" s="1"/>
  <c r="BC9" i="15"/>
  <c r="AZ9" i="15"/>
  <c r="BA9" i="15" s="1"/>
  <c r="BB9" i="15" s="1"/>
  <c r="BC13" i="15"/>
  <c r="AZ13" i="15"/>
  <c r="BA13" i="15" s="1"/>
  <c r="BB13" i="15" s="1"/>
  <c r="BC34" i="15"/>
  <c r="AZ34" i="15"/>
  <c r="BA34" i="15" s="1"/>
  <c r="BB34" i="15" s="1"/>
  <c r="AZ17" i="15"/>
  <c r="BA17" i="15" s="1"/>
  <c r="BB17" i="15" s="1"/>
  <c r="BC17" i="15"/>
  <c r="BC45" i="15"/>
  <c r="AZ45" i="15"/>
  <c r="BA45" i="15" s="1"/>
  <c r="BB45" i="15" s="1"/>
  <c r="BC16" i="15"/>
  <c r="AZ16" i="15"/>
  <c r="BA16" i="15" s="1"/>
  <c r="BB16" i="15" s="1"/>
  <c r="BC10" i="15"/>
  <c r="AZ10" i="15"/>
  <c r="BA10" i="15" s="1"/>
  <c r="BB10" i="15" s="1"/>
  <c r="BC11" i="15"/>
  <c r="AZ11" i="15"/>
  <c r="BA11" i="15" s="1"/>
  <c r="BB11" i="15" s="1"/>
  <c r="BC24" i="15"/>
  <c r="AZ24" i="15"/>
  <c r="BA24" i="15" s="1"/>
  <c r="BB24" i="15" s="1"/>
  <c r="AV14" i="15"/>
  <c r="AS14" i="15"/>
  <c r="AT14" i="15" s="1"/>
  <c r="AU14" i="15" s="1"/>
  <c r="AS7" i="15"/>
  <c r="AT7" i="15" s="1"/>
  <c r="AU7" i="15" s="1"/>
  <c r="AV7" i="15"/>
  <c r="AV33" i="15"/>
  <c r="AS33" i="15"/>
  <c r="AT33" i="15" s="1"/>
  <c r="AU33" i="15" s="1"/>
  <c r="AV8" i="15"/>
  <c r="AS8" i="15"/>
  <c r="AT8" i="15" s="1"/>
  <c r="AV15" i="15"/>
  <c r="AS15" i="15"/>
  <c r="AT15" i="15" s="1"/>
  <c r="AU15" i="15" s="1"/>
  <c r="AS16" i="15"/>
  <c r="AT16" i="15" s="1"/>
  <c r="AU16" i="15" s="1"/>
  <c r="AV16" i="15"/>
  <c r="AV10" i="15"/>
  <c r="AS10" i="15"/>
  <c r="AT10" i="15" s="1"/>
  <c r="AU10" i="15" s="1"/>
  <c r="AS17" i="15"/>
  <c r="AT17" i="15" s="1"/>
  <c r="AU17" i="15" s="1"/>
  <c r="AV17" i="15"/>
  <c r="AV13" i="15"/>
  <c r="AS13" i="15"/>
  <c r="AT13" i="15" s="1"/>
  <c r="AU13" i="15" s="1"/>
  <c r="AS12" i="15"/>
  <c r="AT12" i="15" s="1"/>
  <c r="AU12" i="15" s="1"/>
  <c r="AV12" i="15"/>
  <c r="AS31" i="15"/>
  <c r="AT31" i="15" s="1"/>
  <c r="AU31" i="15" s="1"/>
  <c r="AV31" i="15"/>
  <c r="AV32" i="15"/>
  <c r="AS32" i="15"/>
  <c r="AT32" i="15" s="1"/>
  <c r="AU32" i="15" s="1"/>
  <c r="AS9" i="15"/>
  <c r="AT9" i="15" s="1"/>
  <c r="AU9" i="15" s="1"/>
  <c r="AV9" i="15"/>
  <c r="AV34" i="15"/>
  <c r="AS34" i="15"/>
  <c r="AT34" i="15" s="1"/>
  <c r="AU34" i="15" s="1"/>
  <c r="AV45" i="15"/>
  <c r="AS45" i="15"/>
  <c r="AT45" i="15" s="1"/>
  <c r="AU45" i="15" s="1"/>
  <c r="AV11" i="15"/>
  <c r="AS11" i="15"/>
  <c r="AT11" i="15" s="1"/>
  <c r="AU11" i="15" s="1"/>
  <c r="AV24" i="15"/>
  <c r="AS24" i="15"/>
  <c r="AT24" i="15" s="1"/>
  <c r="AU24" i="15" s="1"/>
  <c r="AO13" i="15"/>
  <c r="AL13" i="15"/>
  <c r="AM13" i="15" s="1"/>
  <c r="AN13" i="15" s="1"/>
  <c r="AO14" i="15"/>
  <c r="AL14" i="15"/>
  <c r="AM14" i="15" s="1"/>
  <c r="AN14" i="15" s="1"/>
  <c r="AO33" i="15"/>
  <c r="AL33" i="15"/>
  <c r="AM33" i="15" s="1"/>
  <c r="AN33" i="15" s="1"/>
  <c r="AO8" i="15"/>
  <c r="AL8" i="15"/>
  <c r="AM8" i="15" s="1"/>
  <c r="AO15" i="15"/>
  <c r="AL15" i="15"/>
  <c r="AM15" i="15" s="1"/>
  <c r="AN15" i="15" s="1"/>
  <c r="AL7" i="15"/>
  <c r="AM7" i="15" s="1"/>
  <c r="AN7" i="15" s="1"/>
  <c r="AO7" i="15"/>
  <c r="AL9" i="15"/>
  <c r="AM9" i="15" s="1"/>
  <c r="AN9" i="15" s="1"/>
  <c r="AO9" i="15"/>
  <c r="AL16" i="15"/>
  <c r="AM16" i="15" s="1"/>
  <c r="AN16" i="15" s="1"/>
  <c r="AO16" i="15"/>
  <c r="AL34" i="15"/>
  <c r="AM34" i="15" s="1"/>
  <c r="AN34" i="15" s="1"/>
  <c r="AO34" i="15"/>
  <c r="AL12" i="15"/>
  <c r="AM12" i="15" s="1"/>
  <c r="AN12" i="15" s="1"/>
  <c r="AO12" i="15"/>
  <c r="AL31" i="15"/>
  <c r="AM31" i="15" s="1"/>
  <c r="AN31" i="15" s="1"/>
  <c r="AO31" i="15"/>
  <c r="AO32" i="15"/>
  <c r="AL32" i="15"/>
  <c r="AM32" i="15" s="1"/>
  <c r="AN32" i="15" s="1"/>
  <c r="AO10" i="15"/>
  <c r="AL10" i="15"/>
  <c r="AM10" i="15" s="1"/>
  <c r="AN10" i="15" s="1"/>
  <c r="AO17" i="15"/>
  <c r="AL17" i="15"/>
  <c r="AM17" i="15" s="1"/>
  <c r="AN17" i="15" s="1"/>
  <c r="AO45" i="15"/>
  <c r="AL45" i="15"/>
  <c r="AM45" i="15" s="1"/>
  <c r="AN45" i="15" s="1"/>
  <c r="AO11" i="15"/>
  <c r="AL11" i="15"/>
  <c r="AM11" i="15" s="1"/>
  <c r="AN11" i="15" s="1"/>
  <c r="AO24" i="15"/>
  <c r="AL24" i="15"/>
  <c r="AM24" i="15" s="1"/>
  <c r="AN24" i="15" s="1"/>
  <c r="AH8" i="15"/>
  <c r="AE8" i="15"/>
  <c r="AF8" i="15" s="1"/>
  <c r="AA8" i="15"/>
  <c r="X8" i="15"/>
  <c r="Y8" i="15" s="1"/>
  <c r="Z8" i="15" s="1"/>
  <c r="O9" i="13" s="1"/>
  <c r="AE9" i="15"/>
  <c r="AF9" i="15" s="1"/>
  <c r="AG9" i="15" s="1"/>
  <c r="AH9" i="15"/>
  <c r="AA9" i="15"/>
  <c r="X9" i="15"/>
  <c r="Y9" i="15" s="1"/>
  <c r="Z9" i="15" s="1"/>
  <c r="O10" i="13" s="1"/>
  <c r="AH16" i="15"/>
  <c r="AE16" i="15"/>
  <c r="AF16" i="15" s="1"/>
  <c r="AG16" i="15" s="1"/>
  <c r="AA16" i="15"/>
  <c r="X16" i="15"/>
  <c r="Y16" i="15" s="1"/>
  <c r="Z16" i="15" s="1"/>
  <c r="O17" i="13" s="1"/>
  <c r="AE34" i="15"/>
  <c r="AF34" i="15" s="1"/>
  <c r="AG34" i="15" s="1"/>
  <c r="AH34" i="15"/>
  <c r="AA34" i="15"/>
  <c r="X34" i="15"/>
  <c r="Y34" i="15" s="1"/>
  <c r="Z34" i="15" s="1"/>
  <c r="O36" i="13" s="1"/>
  <c r="AE12" i="15"/>
  <c r="AF12" i="15" s="1"/>
  <c r="AG12" i="15" s="1"/>
  <c r="AH12" i="15"/>
  <c r="AA12" i="15"/>
  <c r="X12" i="15"/>
  <c r="Y12" i="15" s="1"/>
  <c r="Z12" i="15" s="1"/>
  <c r="O13" i="13" s="1"/>
  <c r="AE13" i="15"/>
  <c r="AF13" i="15" s="1"/>
  <c r="AG13" i="15" s="1"/>
  <c r="AH13" i="15"/>
  <c r="X13" i="15"/>
  <c r="Y13" i="15" s="1"/>
  <c r="Z13" i="15" s="1"/>
  <c r="O14" i="13" s="1"/>
  <c r="AA13" i="15"/>
  <c r="AH14" i="15"/>
  <c r="AE14" i="15"/>
  <c r="AF14" i="15" s="1"/>
  <c r="AG14" i="15" s="1"/>
  <c r="AA14" i="15"/>
  <c r="X14" i="15"/>
  <c r="Y14" i="15" s="1"/>
  <c r="Z14" i="15" s="1"/>
  <c r="O15" i="13" s="1"/>
  <c r="AE15" i="15"/>
  <c r="AF15" i="15" s="1"/>
  <c r="AG15" i="15" s="1"/>
  <c r="AH15" i="15"/>
  <c r="AA15" i="15"/>
  <c r="X15" i="15"/>
  <c r="Y15" i="15" s="1"/>
  <c r="Z15" i="15" s="1"/>
  <c r="O16" i="13" s="1"/>
  <c r="AH10" i="15"/>
  <c r="AE10" i="15"/>
  <c r="AF10" i="15" s="1"/>
  <c r="AG10" i="15" s="1"/>
  <c r="X10" i="15"/>
  <c r="Y10" i="15" s="1"/>
  <c r="Z10" i="15" s="1"/>
  <c r="O11" i="13" s="1"/>
  <c r="AA10" i="15"/>
  <c r="AE17" i="15"/>
  <c r="AF17" i="15" s="1"/>
  <c r="AG17" i="15" s="1"/>
  <c r="AH17" i="15"/>
  <c r="X17" i="15"/>
  <c r="Y17" i="15" s="1"/>
  <c r="Z17" i="15" s="1"/>
  <c r="O18" i="13" s="1"/>
  <c r="AA17" i="15"/>
  <c r="AH7" i="15"/>
  <c r="AE7" i="15"/>
  <c r="AF7" i="15" s="1"/>
  <c r="AG7" i="15" s="1"/>
  <c r="AI7" i="15" s="1"/>
  <c r="X7" i="15"/>
  <c r="Y7" i="15" s="1"/>
  <c r="AA7" i="15"/>
  <c r="AE32" i="15"/>
  <c r="AF32" i="15" s="1"/>
  <c r="AG32" i="15" s="1"/>
  <c r="AH32" i="15"/>
  <c r="AA32" i="15"/>
  <c r="X32" i="15"/>
  <c r="Y32" i="15" s="1"/>
  <c r="Z32" i="15" s="1"/>
  <c r="O34" i="13" s="1"/>
  <c r="AH45" i="15"/>
  <c r="AE45" i="15"/>
  <c r="AF45" i="15" s="1"/>
  <c r="AG45" i="15" s="1"/>
  <c r="X45" i="15"/>
  <c r="Y45" i="15" s="1"/>
  <c r="Z45" i="15" s="1"/>
  <c r="O38" i="13" s="1"/>
  <c r="AA45" i="15"/>
  <c r="AH11" i="15"/>
  <c r="AE11" i="15"/>
  <c r="AF11" i="15" s="1"/>
  <c r="AG11" i="15" s="1"/>
  <c r="AA11" i="15"/>
  <c r="X11" i="15"/>
  <c r="Y11" i="15" s="1"/>
  <c r="Z11" i="15" s="1"/>
  <c r="O12" i="13" s="1"/>
  <c r="AH24" i="15"/>
  <c r="AE24" i="15"/>
  <c r="AF24" i="15" s="1"/>
  <c r="AG24" i="15" s="1"/>
  <c r="AE31" i="15"/>
  <c r="AF31" i="15" s="1"/>
  <c r="AG31" i="15" s="1"/>
  <c r="AH31" i="15"/>
  <c r="AA31" i="15"/>
  <c r="X31" i="15"/>
  <c r="Y31" i="15" s="1"/>
  <c r="Z31" i="15" s="1"/>
  <c r="O33" i="13" s="1"/>
  <c r="AH33" i="15"/>
  <c r="AE33" i="15"/>
  <c r="AF33" i="15" s="1"/>
  <c r="AG33" i="15" s="1"/>
  <c r="AA33" i="15"/>
  <c r="X33" i="15"/>
  <c r="Y33" i="15" s="1"/>
  <c r="Z33" i="15" s="1"/>
  <c r="O35" i="13" s="1"/>
  <c r="X24" i="15"/>
  <c r="Y24" i="15" s="1"/>
  <c r="Z24" i="15" s="1"/>
  <c r="O25" i="13" s="1"/>
  <c r="AA24" i="15"/>
  <c r="T32" i="15"/>
  <c r="Q32" i="15"/>
  <c r="R32" i="15" s="1"/>
  <c r="Q33" i="15"/>
  <c r="R33" i="15" s="1"/>
  <c r="T33" i="15"/>
  <c r="T34" i="15"/>
  <c r="Q34" i="15"/>
  <c r="R34" i="15" s="1"/>
  <c r="Q45" i="15"/>
  <c r="R45" i="15" s="1"/>
  <c r="T45" i="15"/>
  <c r="T31" i="15"/>
  <c r="Q31" i="15"/>
  <c r="R31" i="15" s="1"/>
  <c r="BD39" i="13"/>
  <c r="AM38" i="13" l="1"/>
  <c r="CR45" i="15"/>
  <c r="AM36" i="13"/>
  <c r="CR34" i="15"/>
  <c r="CT34" i="15" s="1"/>
  <c r="AM33" i="13"/>
  <c r="CR31" i="15"/>
  <c r="CT31" i="15" s="1"/>
  <c r="BK45" i="15"/>
  <c r="CT45" i="15"/>
  <c r="AM35" i="13"/>
  <c r="CR33" i="15"/>
  <c r="CT33" i="15" s="1"/>
  <c r="AM34" i="13"/>
  <c r="CR32" i="15"/>
  <c r="CT32" i="15" s="1"/>
  <c r="AM26" i="13"/>
  <c r="AI11" i="15"/>
  <c r="R12" i="13" s="1"/>
  <c r="AI14" i="15"/>
  <c r="R15" i="13" s="1"/>
  <c r="AI16" i="15"/>
  <c r="R17" i="13" s="1"/>
  <c r="AP11" i="15"/>
  <c r="T12" i="13" s="1"/>
  <c r="AP13" i="15"/>
  <c r="T14" i="13" s="1"/>
  <c r="AW11" i="15"/>
  <c r="V12" i="13" s="1"/>
  <c r="AW14" i="15"/>
  <c r="V15" i="13" s="1"/>
  <c r="BD11" i="15"/>
  <c r="X12" i="13" s="1"/>
  <c r="BD16" i="15"/>
  <c r="X17" i="13" s="1"/>
  <c r="BD13" i="15"/>
  <c r="X14" i="13" s="1"/>
  <c r="BD14" i="15"/>
  <c r="X15" i="13" s="1"/>
  <c r="BK11" i="15"/>
  <c r="Z12" i="13" s="1"/>
  <c r="BK10" i="15"/>
  <c r="Z11" i="13" s="1"/>
  <c r="BK14" i="15"/>
  <c r="Z15" i="13" s="1"/>
  <c r="BR7" i="15"/>
  <c r="AB8" i="13" s="1"/>
  <c r="BR13" i="15"/>
  <c r="AB14" i="13" s="1"/>
  <c r="BY11" i="15"/>
  <c r="AD12" i="13" s="1"/>
  <c r="BY13" i="15"/>
  <c r="AD14" i="13" s="1"/>
  <c r="BY10" i="15"/>
  <c r="AD11" i="13" s="1"/>
  <c r="BY14" i="15"/>
  <c r="AD15" i="13" s="1"/>
  <c r="CM11" i="15"/>
  <c r="AH12" i="13" s="1"/>
  <c r="CM12" i="15"/>
  <c r="AH13" i="13" s="1"/>
  <c r="AB11" i="15"/>
  <c r="P12" i="13" s="1"/>
  <c r="AB14" i="15"/>
  <c r="P15" i="13" s="1"/>
  <c r="AB16" i="15"/>
  <c r="P17" i="13" s="1"/>
  <c r="AB9" i="15"/>
  <c r="P10" i="13" s="1"/>
  <c r="AB8" i="15"/>
  <c r="P9" i="13" s="1"/>
  <c r="AP24" i="15"/>
  <c r="AP10" i="15"/>
  <c r="T11" i="13" s="1"/>
  <c r="AP15" i="15"/>
  <c r="T16" i="13" s="1"/>
  <c r="AP14" i="15"/>
  <c r="T15" i="13" s="1"/>
  <c r="AW24" i="15"/>
  <c r="AW13" i="15"/>
  <c r="V14" i="13" s="1"/>
  <c r="BD24" i="15"/>
  <c r="X25" i="13" s="1"/>
  <c r="BK24" i="15"/>
  <c r="Z26" i="13" s="1"/>
  <c r="BR15" i="15"/>
  <c r="AB16" i="13" s="1"/>
  <c r="BR11" i="15"/>
  <c r="AB12" i="13" s="1"/>
  <c r="CF24" i="15"/>
  <c r="AF25" i="13" s="1"/>
  <c r="CM24" i="15"/>
  <c r="AH25" i="13" s="1"/>
  <c r="DF17" i="13"/>
  <c r="BK17" i="13"/>
  <c r="BL17" i="13" s="1"/>
  <c r="AI24" i="15"/>
  <c r="R25" i="13" s="1"/>
  <c r="AP17" i="15"/>
  <c r="T18" i="13" s="1"/>
  <c r="BR24" i="15"/>
  <c r="AB25" i="13" s="1"/>
  <c r="DF38" i="13"/>
  <c r="CM9" i="15"/>
  <c r="AH10" i="13" s="1"/>
  <c r="BF38" i="13"/>
  <c r="BG38" i="13" s="1"/>
  <c r="BN38" i="13" s="1"/>
  <c r="CF7" i="15"/>
  <c r="AF8" i="13" s="1"/>
  <c r="BF9" i="13"/>
  <c r="BG9" i="13" s="1"/>
  <c r="BN9" i="13" s="1"/>
  <c r="BF11" i="13"/>
  <c r="BG11" i="13" s="1"/>
  <c r="BN11" i="13" s="1"/>
  <c r="BK11" i="13"/>
  <c r="BL11" i="13" s="1"/>
  <c r="BF13" i="13"/>
  <c r="BG13" i="13" s="1"/>
  <c r="BN13" i="13" s="1"/>
  <c r="BK13" i="13"/>
  <c r="BL13" i="13" s="1"/>
  <c r="DF9" i="13"/>
  <c r="BF15" i="13"/>
  <c r="BG15" i="13" s="1"/>
  <c r="DI15" i="13" s="1"/>
  <c r="DJ15" i="13" s="1"/>
  <c r="BK15" i="13"/>
  <c r="BL15" i="13" s="1"/>
  <c r="BF14" i="13"/>
  <c r="BG14" i="13" s="1"/>
  <c r="BN14" i="13" s="1"/>
  <c r="BK14" i="13"/>
  <c r="BL14" i="13" s="1"/>
  <c r="BK16" i="13"/>
  <c r="BL16" i="13" s="1"/>
  <c r="BF16" i="13"/>
  <c r="BG16" i="13" s="1"/>
  <c r="DG16" i="13" s="1"/>
  <c r="BK10" i="13"/>
  <c r="BL10" i="13" s="1"/>
  <c r="BF10" i="13"/>
  <c r="BG10" i="13" s="1"/>
  <c r="BN10" i="13" s="1"/>
  <c r="DF16" i="13"/>
  <c r="DF13" i="13"/>
  <c r="BF18" i="13"/>
  <c r="BG18" i="13" s="1"/>
  <c r="BN18" i="13" s="1"/>
  <c r="BK18" i="13"/>
  <c r="BL18" i="13" s="1"/>
  <c r="BK12" i="13"/>
  <c r="BL12" i="13" s="1"/>
  <c r="BF12" i="13"/>
  <c r="BG12" i="13" s="1"/>
  <c r="BN12" i="13" s="1"/>
  <c r="BR16" i="15"/>
  <c r="AB17" i="13" s="1"/>
  <c r="CF14" i="15"/>
  <c r="AF15" i="13" s="1"/>
  <c r="CM14" i="15"/>
  <c r="AH15" i="13" s="1"/>
  <c r="AW9" i="15"/>
  <c r="V10" i="13" s="1"/>
  <c r="AI10" i="15"/>
  <c r="R11" i="13" s="1"/>
  <c r="CF11" i="15"/>
  <c r="AF12" i="13" s="1"/>
  <c r="CM13" i="15"/>
  <c r="AH14" i="13" s="1"/>
  <c r="CM7" i="15"/>
  <c r="AH8" i="13" s="1"/>
  <c r="CF10" i="15"/>
  <c r="AF11" i="13" s="1"/>
  <c r="BR9" i="15"/>
  <c r="AB10" i="13" s="1"/>
  <c r="BK12" i="15"/>
  <c r="Z13" i="13" s="1"/>
  <c r="BD12" i="15"/>
  <c r="X13" i="13" s="1"/>
  <c r="AP12" i="15"/>
  <c r="T13" i="13" s="1"/>
  <c r="CM17" i="15"/>
  <c r="AH18" i="13" s="1"/>
  <c r="CM10" i="15"/>
  <c r="AH11" i="13" s="1"/>
  <c r="CM16" i="15"/>
  <c r="AH17" i="13" s="1"/>
  <c r="CM15" i="15"/>
  <c r="AH16" i="13" s="1"/>
  <c r="CF15" i="15"/>
  <c r="AF16" i="13" s="1"/>
  <c r="CF12" i="15"/>
  <c r="AF13" i="13" s="1"/>
  <c r="CF9" i="15"/>
  <c r="AF10" i="13" s="1"/>
  <c r="CF13" i="15"/>
  <c r="AF14" i="13" s="1"/>
  <c r="CF17" i="15"/>
  <c r="AF18" i="13" s="1"/>
  <c r="CF16" i="15"/>
  <c r="AF17" i="13" s="1"/>
  <c r="BY12" i="15"/>
  <c r="AD13" i="13" s="1"/>
  <c r="BY17" i="15"/>
  <c r="AD18" i="13" s="1"/>
  <c r="BY16" i="15"/>
  <c r="AD17" i="13" s="1"/>
  <c r="BY15" i="15"/>
  <c r="AD16" i="13" s="1"/>
  <c r="BY7" i="15"/>
  <c r="AD8" i="13" s="1"/>
  <c r="BY9" i="15"/>
  <c r="AD10" i="13" s="1"/>
  <c r="BR10" i="15"/>
  <c r="AB11" i="13" s="1"/>
  <c r="BR12" i="15"/>
  <c r="AB13" i="13" s="1"/>
  <c r="BR17" i="15"/>
  <c r="AB18" i="13" s="1"/>
  <c r="BR14" i="15"/>
  <c r="AB15" i="13" s="1"/>
  <c r="BK15" i="15"/>
  <c r="Z16" i="13" s="1"/>
  <c r="BK9" i="15"/>
  <c r="Z10" i="13" s="1"/>
  <c r="BK13" i="15"/>
  <c r="Z14" i="13" s="1"/>
  <c r="BK16" i="15"/>
  <c r="Z17" i="13" s="1"/>
  <c r="BK17" i="15"/>
  <c r="Z18" i="13" s="1"/>
  <c r="BK7" i="15"/>
  <c r="BD17" i="15"/>
  <c r="X18" i="13" s="1"/>
  <c r="BD7" i="15"/>
  <c r="X8" i="13" s="1"/>
  <c r="BD9" i="15"/>
  <c r="X10" i="13" s="1"/>
  <c r="BD15" i="15"/>
  <c r="X16" i="13" s="1"/>
  <c r="BD10" i="15"/>
  <c r="X11" i="13" s="1"/>
  <c r="AW17" i="15"/>
  <c r="V18" i="13" s="1"/>
  <c r="AW10" i="15"/>
  <c r="V11" i="13" s="1"/>
  <c r="AW16" i="15"/>
  <c r="V17" i="13" s="1"/>
  <c r="AW12" i="15"/>
  <c r="V13" i="13" s="1"/>
  <c r="AW7" i="15"/>
  <c r="V8" i="13" s="1"/>
  <c r="AW15" i="15"/>
  <c r="V16" i="13" s="1"/>
  <c r="AP16" i="15"/>
  <c r="T17" i="13" s="1"/>
  <c r="AP9" i="15"/>
  <c r="T10" i="13" s="1"/>
  <c r="AP7" i="15"/>
  <c r="T8" i="13" s="1"/>
  <c r="AI15" i="15"/>
  <c r="R16" i="13" s="1"/>
  <c r="AI17" i="15"/>
  <c r="R18" i="13" s="1"/>
  <c r="AI13" i="15"/>
  <c r="R14" i="13" s="1"/>
  <c r="AI9" i="15"/>
  <c r="R10" i="13" s="1"/>
  <c r="AI12" i="15"/>
  <c r="R13" i="13" s="1"/>
  <c r="AB17" i="15"/>
  <c r="P18" i="13" s="1"/>
  <c r="AB13" i="15"/>
  <c r="P14" i="13" s="1"/>
  <c r="AB12" i="15"/>
  <c r="P13" i="13" s="1"/>
  <c r="AB10" i="15"/>
  <c r="P11" i="13" s="1"/>
  <c r="AB15" i="15"/>
  <c r="P16" i="13" s="1"/>
  <c r="BK36" i="13"/>
  <c r="BL36" i="13" s="1"/>
  <c r="BF36" i="13"/>
  <c r="BG36" i="13" s="1"/>
  <c r="BN36" i="13" s="1"/>
  <c r="BK34" i="13"/>
  <c r="BL34" i="13" s="1"/>
  <c r="BF34" i="13"/>
  <c r="BG34" i="13" s="1"/>
  <c r="DG34" i="13" s="1"/>
  <c r="DF34" i="13"/>
  <c r="BK35" i="13"/>
  <c r="BL35" i="13" s="1"/>
  <c r="BF35" i="13"/>
  <c r="BG35" i="13" s="1"/>
  <c r="BN35" i="13" s="1"/>
  <c r="BY24" i="15"/>
  <c r="AD25" i="13" s="1"/>
  <c r="AP32" i="15"/>
  <c r="T34" i="13" s="1"/>
  <c r="BR32" i="15"/>
  <c r="AB34" i="13" s="1"/>
  <c r="CM31" i="15"/>
  <c r="AH33" i="13" s="1"/>
  <c r="AB32" i="15"/>
  <c r="P34" i="13" s="1"/>
  <c r="AB34" i="15"/>
  <c r="P36" i="13" s="1"/>
  <c r="AI34" i="15"/>
  <c r="R36" i="13" s="1"/>
  <c r="AW32" i="15"/>
  <c r="V34" i="13" s="1"/>
  <c r="BD33" i="15"/>
  <c r="X35" i="13" s="1"/>
  <c r="AI31" i="15"/>
  <c r="R33" i="13" s="1"/>
  <c r="AP34" i="15"/>
  <c r="T36" i="13" s="1"/>
  <c r="BD45" i="15"/>
  <c r="X38" i="13" s="1"/>
  <c r="CM45" i="15"/>
  <c r="AH38" i="13" s="1"/>
  <c r="BY45" i="15"/>
  <c r="AD38" i="13" s="1"/>
  <c r="CF33" i="15"/>
  <c r="AF35" i="13" s="1"/>
  <c r="AI45" i="15"/>
  <c r="AI33" i="15"/>
  <c r="R35" i="13" s="1"/>
  <c r="BD32" i="15"/>
  <c r="X34" i="13" s="1"/>
  <c r="CM33" i="15"/>
  <c r="AH35" i="13" s="1"/>
  <c r="BY33" i="15"/>
  <c r="AD35" i="13" s="1"/>
  <c r="BK32" i="15"/>
  <c r="Z34" i="13" s="1"/>
  <c r="AP33" i="15"/>
  <c r="T35" i="13" s="1"/>
  <c r="BK31" i="15"/>
  <c r="Z33" i="13" s="1"/>
  <c r="BR45" i="15"/>
  <c r="AB38" i="13" s="1"/>
  <c r="BK33" i="15"/>
  <c r="Z35" i="13" s="1"/>
  <c r="CF45" i="15"/>
  <c r="AF38" i="13" s="1"/>
  <c r="CF32" i="15"/>
  <c r="AF34" i="13" s="1"/>
  <c r="CM34" i="15"/>
  <c r="AH36" i="13" s="1"/>
  <c r="AP31" i="15"/>
  <c r="T33" i="13" s="1"/>
  <c r="CF31" i="15"/>
  <c r="AF33" i="13" s="1"/>
  <c r="CM32" i="15"/>
  <c r="AH34" i="13" s="1"/>
  <c r="AB33" i="15"/>
  <c r="P35" i="13" s="1"/>
  <c r="AW31" i="15"/>
  <c r="V33" i="13" s="1"/>
  <c r="BY31" i="15"/>
  <c r="AD33" i="13" s="1"/>
  <c r="BD34" i="15"/>
  <c r="X36" i="13" s="1"/>
  <c r="BD31" i="15"/>
  <c r="X33" i="13" s="1"/>
  <c r="O26" i="13"/>
  <c r="AB24" i="15"/>
  <c r="AW45" i="15"/>
  <c r="V38" i="13" s="1"/>
  <c r="BR33" i="15"/>
  <c r="AB35" i="13" s="1"/>
  <c r="BR34" i="15"/>
  <c r="AB36" i="13" s="1"/>
  <c r="AW34" i="15"/>
  <c r="V36" i="13" s="1"/>
  <c r="CF34" i="15"/>
  <c r="AF36" i="13" s="1"/>
  <c r="BY32" i="15"/>
  <c r="AD34" i="13" s="1"/>
  <c r="BK34" i="15"/>
  <c r="Z36" i="13" s="1"/>
  <c r="AI32" i="15"/>
  <c r="R34" i="13" s="1"/>
  <c r="BR31" i="15"/>
  <c r="AB33" i="13" s="1"/>
  <c r="AB31" i="15"/>
  <c r="P33" i="13" s="1"/>
  <c r="AW33" i="15"/>
  <c r="V35" i="13" s="1"/>
  <c r="BY34" i="15"/>
  <c r="AD36" i="13" s="1"/>
  <c r="AP45" i="15"/>
  <c r="T38" i="13" s="1"/>
  <c r="AB45" i="15"/>
  <c r="P38" i="13" s="1"/>
  <c r="BN19" i="13"/>
  <c r="DG19" i="13"/>
  <c r="DI19" i="13"/>
  <c r="DJ19" i="13" s="1"/>
  <c r="BN33" i="13"/>
  <c r="DI33" i="13"/>
  <c r="DJ33" i="13" s="1"/>
  <c r="DG33" i="13"/>
  <c r="BN26" i="13"/>
  <c r="DG26" i="13"/>
  <c r="DI26" i="13"/>
  <c r="DJ26" i="13" s="1"/>
  <c r="BN17" i="13"/>
  <c r="DG17" i="13"/>
  <c r="DI17" i="13"/>
  <c r="DJ17" i="13" s="1"/>
  <c r="CR15" i="15"/>
  <c r="CT15" i="15" s="1"/>
  <c r="CR11" i="15"/>
  <c r="CT11" i="15" s="1"/>
  <c r="CR10" i="15"/>
  <c r="CT10" i="15" s="1"/>
  <c r="CR14" i="15"/>
  <c r="CT14" i="15" s="1"/>
  <c r="CR12" i="15"/>
  <c r="CT12" i="15" s="1"/>
  <c r="CR13" i="15"/>
  <c r="CT13" i="15" s="1"/>
  <c r="CR17" i="15"/>
  <c r="CT17" i="15" s="1"/>
  <c r="CR24" i="15"/>
  <c r="CT24" i="15" s="1"/>
  <c r="CR16" i="15"/>
  <c r="CT16" i="15" s="1"/>
  <c r="CR9" i="15"/>
  <c r="CT9" i="15" s="1"/>
  <c r="CR7" i="15"/>
  <c r="CT7" i="15" s="1"/>
  <c r="AM8" i="13"/>
  <c r="CQ46" i="15"/>
  <c r="CR8" i="15"/>
  <c r="CJ46" i="15"/>
  <c r="CK8" i="15"/>
  <c r="CM8" i="15" s="1"/>
  <c r="AH9" i="13" s="1"/>
  <c r="CC46" i="15"/>
  <c r="CD8" i="15"/>
  <c r="CF8" i="15" s="1"/>
  <c r="AF9" i="13" s="1"/>
  <c r="BW8" i="15"/>
  <c r="BY8" i="15" s="1"/>
  <c r="AD9" i="13" s="1"/>
  <c r="BV46" i="15"/>
  <c r="BO46" i="15"/>
  <c r="BP8" i="15"/>
  <c r="BR8" i="15" s="1"/>
  <c r="AB9" i="13" s="1"/>
  <c r="BI8" i="15"/>
  <c r="BK8" i="15" s="1"/>
  <c r="Z9" i="13" s="1"/>
  <c r="BH46" i="15"/>
  <c r="BA46" i="15"/>
  <c r="BB8" i="15"/>
  <c r="BD8" i="15" s="1"/>
  <c r="X9" i="13" s="1"/>
  <c r="AT46" i="15"/>
  <c r="AU8" i="15"/>
  <c r="AW8" i="15" s="1"/>
  <c r="V9" i="13" s="1"/>
  <c r="AM46" i="15"/>
  <c r="AN8" i="15"/>
  <c r="AP8" i="15" s="1"/>
  <c r="T9" i="13" s="1"/>
  <c r="Y46" i="15"/>
  <c r="Z7" i="15"/>
  <c r="AF46" i="15"/>
  <c r="AG8" i="15"/>
  <c r="AI8" i="15" s="1"/>
  <c r="R9" i="13" s="1"/>
  <c r="X26" i="13" l="1"/>
  <c r="DI38" i="13"/>
  <c r="DJ38" i="13" s="1"/>
  <c r="DG38" i="13"/>
  <c r="Z8" i="13"/>
  <c r="BK46" i="15"/>
  <c r="R38" i="13"/>
  <c r="AI46" i="15"/>
  <c r="R8" i="13"/>
  <c r="AF26" i="13"/>
  <c r="AB26" i="13"/>
  <c r="DI36" i="13"/>
  <c r="DJ36" i="13" s="1"/>
  <c r="AB7" i="15"/>
  <c r="AB46" i="15" s="1"/>
  <c r="Z46" i="15"/>
  <c r="AH26" i="13"/>
  <c r="BN34" i="13"/>
  <c r="AD26" i="13"/>
  <c r="R26" i="13"/>
  <c r="V26" i="13"/>
  <c r="V25" i="13"/>
  <c r="T26" i="13"/>
  <c r="T25" i="13"/>
  <c r="P26" i="13"/>
  <c r="P25" i="13"/>
  <c r="DI35" i="13"/>
  <c r="DJ35" i="13" s="1"/>
  <c r="DG35" i="13"/>
  <c r="DG36" i="13"/>
  <c r="DG12" i="13"/>
  <c r="DG13" i="13"/>
  <c r="DI13" i="13"/>
  <c r="DJ13" i="13" s="1"/>
  <c r="DG10" i="13"/>
  <c r="DI10" i="13"/>
  <c r="DJ10" i="13" s="1"/>
  <c r="DG15" i="13"/>
  <c r="BN15" i="13"/>
  <c r="DG11" i="13"/>
  <c r="DG9" i="13"/>
  <c r="DI9" i="13"/>
  <c r="DJ9" i="13" s="1"/>
  <c r="DI11" i="13"/>
  <c r="DJ11" i="13" s="1"/>
  <c r="DI12" i="13"/>
  <c r="DJ12" i="13" s="1"/>
  <c r="BN16" i="13"/>
  <c r="DI18" i="13"/>
  <c r="DJ18" i="13" s="1"/>
  <c r="DG14" i="13"/>
  <c r="DG18" i="13"/>
  <c r="DI14" i="13"/>
  <c r="DJ14" i="13" s="1"/>
  <c r="DI16" i="13"/>
  <c r="DJ16" i="13" s="1"/>
  <c r="DI34" i="13"/>
  <c r="DJ34" i="13" s="1"/>
  <c r="CT8" i="15"/>
  <c r="CR46" i="15"/>
  <c r="CK46" i="15"/>
  <c r="CD46" i="15"/>
  <c r="BW46" i="15"/>
  <c r="BP46" i="15"/>
  <c r="BI46" i="15"/>
  <c r="BB46" i="15"/>
  <c r="AU46" i="15"/>
  <c r="AN46" i="15"/>
  <c r="O8" i="13"/>
  <c r="O39" i="13" s="1"/>
  <c r="AG46" i="15"/>
  <c r="P8" i="13" l="1"/>
  <c r="P39" i="13" s="1"/>
  <c r="CT46" i="15"/>
  <c r="AP46" i="15"/>
  <c r="T39" i="13"/>
  <c r="AW46" i="15"/>
  <c r="V39" i="13"/>
  <c r="BD46" i="15"/>
  <c r="X39" i="13"/>
  <c r="CF46" i="15"/>
  <c r="AF39" i="13"/>
  <c r="CM46" i="15"/>
  <c r="AH39" i="13"/>
  <c r="Z39" i="13"/>
  <c r="BR46" i="15"/>
  <c r="AB39" i="13"/>
  <c r="BY46" i="15"/>
  <c r="AD39" i="13"/>
  <c r="AM39" i="13" l="1"/>
  <c r="R39" i="13"/>
  <c r="C62" i="9"/>
  <c r="C61" i="9"/>
  <c r="C60" i="9"/>
  <c r="C59" i="9"/>
  <c r="C58" i="9"/>
  <c r="C57" i="9"/>
  <c r="S34" i="15" l="1"/>
  <c r="S33" i="15"/>
  <c r="S32" i="15"/>
  <c r="S45" i="15"/>
  <c r="U45" i="15" s="1"/>
  <c r="S31" i="15"/>
  <c r="U33" i="15" l="1"/>
  <c r="N34" i="13" s="1"/>
  <c r="AJ34" i="13" s="1"/>
  <c r="BH34" i="13" s="1"/>
  <c r="M34" i="13"/>
  <c r="U31" i="15"/>
  <c r="N32" i="13" s="1"/>
  <c r="AJ32" i="13" s="1"/>
  <c r="BH32" i="13" s="1"/>
  <c r="BI32" i="13" s="1"/>
  <c r="BW32" i="13" s="1"/>
  <c r="M32" i="13"/>
  <c r="AI32" i="13" s="1"/>
  <c r="U32" i="15"/>
  <c r="N33" i="13" s="1"/>
  <c r="M33" i="13"/>
  <c r="U34" i="15"/>
  <c r="N35" i="13" s="1"/>
  <c r="M35" i="13"/>
  <c r="AI34" i="13"/>
  <c r="AI33" i="13"/>
  <c r="AJ33" i="13"/>
  <c r="BH33" i="13" s="1"/>
  <c r="AI35" i="13"/>
  <c r="AJ35" i="13"/>
  <c r="BH35" i="13" s="1"/>
  <c r="T17" i="15"/>
  <c r="Q17" i="15"/>
  <c r="AJ38" i="13"/>
  <c r="BH38" i="13" s="1"/>
  <c r="AI38" i="13"/>
  <c r="AI36" i="13"/>
  <c r="AJ36" i="13"/>
  <c r="BH36" i="13" s="1"/>
  <c r="Q16" i="15"/>
  <c r="T16" i="15"/>
  <c r="Q24" i="15"/>
  <c r="T24" i="15"/>
  <c r="BI36" i="13" l="1"/>
  <c r="BW36" i="13" s="1"/>
  <c r="BI38" i="13"/>
  <c r="BW38" i="13" s="1"/>
  <c r="BI35" i="13"/>
  <c r="BW35" i="13" s="1"/>
  <c r="BI33" i="13"/>
  <c r="BW33" i="13" s="1"/>
  <c r="BI34" i="13"/>
  <c r="BW34" i="13" s="1"/>
  <c r="R24" i="15"/>
  <c r="S24" i="15" s="1"/>
  <c r="R17" i="15"/>
  <c r="S17" i="15" s="1"/>
  <c r="R16" i="15"/>
  <c r="S16" i="15" s="1"/>
  <c r="U16" i="15" l="1"/>
  <c r="N17" i="13" s="1"/>
  <c r="AJ17" i="13" s="1"/>
  <c r="M17" i="13"/>
  <c r="AI17" i="13" s="1"/>
  <c r="U17" i="15"/>
  <c r="N18" i="13" s="1"/>
  <c r="AJ18" i="13" s="1"/>
  <c r="M18" i="13"/>
  <c r="AI18" i="13" s="1"/>
  <c r="U24" i="15"/>
  <c r="N25" i="13" s="1"/>
  <c r="M25" i="13"/>
  <c r="AJ25" i="13"/>
  <c r="BH25" i="13" s="1"/>
  <c r="BI25" i="13" s="1"/>
  <c r="BW25" i="13" s="1"/>
  <c r="AI25" i="13"/>
  <c r="BH18" i="13"/>
  <c r="BH19" i="13"/>
  <c r="AI26" i="13"/>
  <c r="Q13" i="15"/>
  <c r="T13" i="15"/>
  <c r="Q8" i="15"/>
  <c r="T8" i="15"/>
  <c r="T9" i="15"/>
  <c r="Q9" i="15"/>
  <c r="Q11" i="15"/>
  <c r="T11" i="15"/>
  <c r="T15" i="15"/>
  <c r="Q15" i="15"/>
  <c r="Q10" i="15"/>
  <c r="T10" i="15"/>
  <c r="Q12" i="15"/>
  <c r="T12" i="15"/>
  <c r="Q14" i="15"/>
  <c r="T14" i="15"/>
  <c r="AJ26" i="13" l="1"/>
  <c r="BH26" i="13" s="1"/>
  <c r="BI26" i="13" s="1"/>
  <c r="BW26" i="13" s="1"/>
  <c r="BI19" i="13"/>
  <c r="BW19" i="13" s="1"/>
  <c r="BI18" i="13"/>
  <c r="BW18" i="13" s="1"/>
  <c r="R11" i="15"/>
  <c r="S11" i="15" s="1"/>
  <c r="R8" i="15"/>
  <c r="S8" i="15" s="1"/>
  <c r="R13" i="15"/>
  <c r="S13" i="15" s="1"/>
  <c r="R15" i="15"/>
  <c r="S15" i="15" s="1"/>
  <c r="R9" i="15"/>
  <c r="S9" i="15" s="1"/>
  <c r="R14" i="15"/>
  <c r="S14" i="15" s="1"/>
  <c r="R12" i="15"/>
  <c r="S12" i="15" s="1"/>
  <c r="R10" i="15"/>
  <c r="S10" i="15" s="1"/>
  <c r="U12" i="15" l="1"/>
  <c r="N13" i="13" s="1"/>
  <c r="AJ13" i="13" s="1"/>
  <c r="M13" i="13"/>
  <c r="AI13" i="13" s="1"/>
  <c r="U15" i="15"/>
  <c r="N16" i="13" s="1"/>
  <c r="AJ16" i="13" s="1"/>
  <c r="BH16" i="13" s="1"/>
  <c r="M16" i="13"/>
  <c r="AI16" i="13" s="1"/>
  <c r="U8" i="15"/>
  <c r="N9" i="13" s="1"/>
  <c r="AJ9" i="13" s="1"/>
  <c r="BH9" i="13" s="1"/>
  <c r="M9" i="13"/>
  <c r="AI9" i="13" s="1"/>
  <c r="U10" i="15"/>
  <c r="N11" i="13" s="1"/>
  <c r="AJ11" i="13" s="1"/>
  <c r="BH11" i="13" s="1"/>
  <c r="M11" i="13"/>
  <c r="AI11" i="13" s="1"/>
  <c r="U14" i="15"/>
  <c r="N15" i="13" s="1"/>
  <c r="AJ15" i="13" s="1"/>
  <c r="BH15" i="13" s="1"/>
  <c r="M15" i="13"/>
  <c r="AI15" i="13" s="1"/>
  <c r="U9" i="15"/>
  <c r="N10" i="13" s="1"/>
  <c r="AJ10" i="13" s="1"/>
  <c r="BH10" i="13" s="1"/>
  <c r="M10" i="13"/>
  <c r="AI10" i="13" s="1"/>
  <c r="U13" i="15"/>
  <c r="N14" i="13" s="1"/>
  <c r="AJ14" i="13" s="1"/>
  <c r="BH14" i="13" s="1"/>
  <c r="M14" i="13"/>
  <c r="AI14" i="13" s="1"/>
  <c r="U11" i="15"/>
  <c r="N12" i="13" s="1"/>
  <c r="AJ12" i="13" s="1"/>
  <c r="BH12" i="13" s="1"/>
  <c r="M12" i="13"/>
  <c r="AI12" i="13" s="1"/>
  <c r="BH13" i="13"/>
  <c r="BH17" i="13"/>
  <c r="BI15" i="13" l="1"/>
  <c r="BW15" i="13" s="1"/>
  <c r="BI9" i="13"/>
  <c r="BW9" i="13" s="1"/>
  <c r="BI11" i="13"/>
  <c r="BW11" i="13" s="1"/>
  <c r="BI14" i="13"/>
  <c r="BW14" i="13" s="1"/>
  <c r="BI10" i="13"/>
  <c r="BW10" i="13" s="1"/>
  <c r="BI16" i="13"/>
  <c r="BW16" i="13" s="1"/>
  <c r="BI12" i="13"/>
  <c r="BW12" i="13" s="1"/>
  <c r="BI17" i="13"/>
  <c r="BW17" i="13" s="1"/>
  <c r="BI13" i="13"/>
  <c r="BW13" i="13" s="1"/>
  <c r="B5" i="4"/>
  <c r="B6" i="4" s="1"/>
  <c r="B7" i="4" s="1"/>
  <c r="BW39" i="13" l="1"/>
  <c r="Q7" i="15" l="1"/>
  <c r="R46" i="15" s="1"/>
  <c r="T7" i="15"/>
  <c r="S7" i="15" l="1"/>
  <c r="U7" i="15" s="1"/>
  <c r="U46" i="15" s="1"/>
  <c r="U47" i="15" s="1"/>
  <c r="M8" i="13" l="1"/>
  <c r="N8" i="13"/>
  <c r="S46" i="15"/>
  <c r="AI8" i="13" l="1"/>
  <c r="AI39" i="13" s="1"/>
  <c r="AJ8" i="13"/>
  <c r="BH8" i="13" s="1"/>
  <c r="BH39" i="13" s="1"/>
  <c r="M39" i="13"/>
  <c r="N39" i="13"/>
  <c r="AW8" i="13"/>
  <c r="AY39" i="13"/>
  <c r="AT39" i="13"/>
  <c r="AZ39" i="13"/>
  <c r="AV39" i="13"/>
  <c r="AJ39" i="13" l="1"/>
  <c r="AW39" i="13"/>
  <c r="CY8" i="13"/>
  <c r="AX8" i="13"/>
  <c r="AX39" i="13" s="1"/>
  <c r="BA39" i="13" l="1"/>
  <c r="CZ8" i="13"/>
  <c r="BB8" i="13"/>
  <c r="DA8" i="13" s="1"/>
  <c r="BB39" i="13" l="1"/>
  <c r="BC8" i="13"/>
  <c r="BE8" i="13" l="1"/>
  <c r="DB8" i="13"/>
  <c r="DD8" i="13" s="1"/>
  <c r="BC39" i="13"/>
  <c r="BF8" i="13" l="1"/>
  <c r="BK8" i="13"/>
  <c r="BL8" i="13" s="1"/>
  <c r="BL39" i="13" s="1"/>
  <c r="BE39" i="13"/>
  <c r="DF8" i="13"/>
  <c r="BF39" i="13" l="1"/>
  <c r="BG8" i="13"/>
  <c r="DI8" i="13" s="1"/>
  <c r="DJ8" i="13" s="1"/>
  <c r="BK39" i="13"/>
  <c r="BG39" i="13" l="1"/>
  <c r="BN8" i="13"/>
  <c r="BN39" i="13" s="1"/>
  <c r="BI8" i="13"/>
  <c r="BW8" i="13" s="1"/>
  <c r="DG8" i="13"/>
  <c r="BI39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MyBook Hype AMD</author>
  </authors>
  <commentList>
    <comment ref="G18" authorId="0" shapeId="0" xr:uid="{5A27A903-A74B-4761-90A9-CF1948AD0735}">
      <text>
        <r>
          <rPr>
            <b/>
            <sz val="9"/>
            <color indexed="81"/>
            <rFont val="Tahoma"/>
            <family val="2"/>
          </rPr>
          <t>MyBook Hype AMD:</t>
        </r>
        <r>
          <rPr>
            <sz val="9"/>
            <color indexed="81"/>
            <rFont val="Tahoma"/>
            <family val="2"/>
          </rPr>
          <t xml:space="preserve">
Gedebage, Bandung</t>
        </r>
      </text>
    </comment>
    <comment ref="G19" authorId="0" shapeId="0" xr:uid="{51A9249A-0905-41CB-9837-25853B4AE0D5}">
      <text>
        <r>
          <rPr>
            <b/>
            <sz val="9"/>
            <color indexed="81"/>
            <rFont val="Tahoma"/>
            <family val="2"/>
          </rPr>
          <t>MyBook Hype AMD:</t>
        </r>
        <r>
          <rPr>
            <sz val="9"/>
            <color indexed="81"/>
            <rFont val="Tahoma"/>
            <family val="2"/>
          </rPr>
          <t xml:space="preserve">
Gebang, Purworejo, Jatim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tc={D74F9B15-7866-4C64-9D94-321AFE8AC3C5}</author>
  </authors>
  <commentList>
    <comment ref="BM6" authorId="0" shapeId="0" xr:uid="{D74F9B15-7866-4C64-9D94-321AFE8AC3C5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MANUAL COPY PASTE VALUE BERULANG DARI KOLOM PPH21 TERHUTANG SETAHUN SAMPAI KOLOM BN "0"</t>
      </text>
    </comment>
  </commentList>
</comments>
</file>

<file path=xl/sharedStrings.xml><?xml version="1.0" encoding="utf-8"?>
<sst xmlns="http://schemas.openxmlformats.org/spreadsheetml/2006/main" count="1026" uniqueCount="227">
  <si>
    <t>NO.</t>
  </si>
  <si>
    <t>NPWP</t>
  </si>
  <si>
    <t>NAMA</t>
  </si>
  <si>
    <t>JABATAN</t>
  </si>
  <si>
    <t>STATUS</t>
  </si>
  <si>
    <t>HARI KERJA</t>
  </si>
  <si>
    <t>TOTAL HADIR</t>
  </si>
  <si>
    <t>GAJI POKOK</t>
  </si>
  <si>
    <t>PENGHASILAN BRUTO</t>
  </si>
  <si>
    <t>GAJI</t>
  </si>
  <si>
    <t>BPJS JKK 0,24%</t>
  </si>
  <si>
    <t>BPJS JKM 0,30%</t>
  </si>
  <si>
    <t>PEGAWAI TETAP</t>
  </si>
  <si>
    <t>PTKP Update Tahun 2015</t>
  </si>
  <si>
    <t>PTKP SETAHUN</t>
  </si>
  <si>
    <t>K0</t>
  </si>
  <si>
    <t>K1</t>
  </si>
  <si>
    <t>K2</t>
  </si>
  <si>
    <t>K3</t>
  </si>
  <si>
    <t>TARIF</t>
  </si>
  <si>
    <t>&gt;250.000.000 s.d 500.000.000</t>
  </si>
  <si>
    <t>PENGHASILAN TIDAK TERATUR</t>
  </si>
  <si>
    <t>THR</t>
  </si>
  <si>
    <t>TOTAL PENGHASILAN TIDAK TERATUR</t>
  </si>
  <si>
    <t>NIP</t>
  </si>
  <si>
    <t>NIK (KTP)</t>
  </si>
  <si>
    <t>ALAMAT</t>
  </si>
  <si>
    <t>BULAN MASUK KERJA</t>
  </si>
  <si>
    <t>Tarif PPh Pasal 17 Terbaru</t>
  </si>
  <si>
    <t>TK0</t>
  </si>
  <si>
    <t>TK1</t>
  </si>
  <si>
    <t>TK2</t>
  </si>
  <si>
    <t>TK3</t>
  </si>
  <si>
    <t>&lt;= 60.000.000</t>
  </si>
  <si>
    <t>&gt;60.000.000 s.d 250.000.000</t>
  </si>
  <si>
    <t>&gt; 500.000.000 s.d. 5M</t>
  </si>
  <si>
    <t>&gt; 5M</t>
  </si>
  <si>
    <t>JENIS KELAMIN</t>
  </si>
  <si>
    <t>PERHITUNGAN PPh 21 BULANAN (TER PP 58 Tahun 2023)</t>
  </si>
  <si>
    <t>NATURA</t>
  </si>
  <si>
    <t>PPh 21 PERBULAN</t>
  </si>
  <si>
    <t>TARIF TER</t>
  </si>
  <si>
    <t>KATEGORI TER</t>
  </si>
  <si>
    <t>TER A</t>
  </si>
  <si>
    <t>TER B</t>
  </si>
  <si>
    <t>TER C</t>
  </si>
  <si>
    <t>PENERAPAN PERHITUNGAN PPh 21 SESUAI PP NO. 58 TAHUN 2023</t>
  </si>
  <si>
    <t>KATEGORI A (TK0/TK1/K0)</t>
  </si>
  <si>
    <t>KATEGORI B (TK2/TK3/K1/K2)</t>
  </si>
  <si>
    <t>KATEGORI C (K3)</t>
  </si>
  <si>
    <t>HARIAN</t>
  </si>
  <si>
    <t>Range</t>
  </si>
  <si>
    <t>Tarif</t>
  </si>
  <si>
    <t>s.d.</t>
  </si>
  <si>
    <t>~</t>
  </si>
  <si>
    <t>BULAN JANUARI 2024</t>
  </si>
  <si>
    <t>TJ. JABATAN</t>
  </si>
  <si>
    <t>JUMLAH</t>
  </si>
  <si>
    <t>PENGHASILAN BRUTO SETAHUN</t>
  </si>
  <si>
    <t>PENGURANG</t>
  </si>
  <si>
    <t>JUMLAH PENGHASILAN NETTO SETAHUN</t>
  </si>
  <si>
    <t>PTKP</t>
  </si>
  <si>
    <t>PKP SETAHUN</t>
  </si>
  <si>
    <t>PPH 21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</si>
  <si>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</si>
  <si>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</si>
  <si>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</si>
  <si>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</si>
  <si>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</si>
  <si>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</si>
  <si>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</si>
  <si>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</si>
  <si>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</si>
  <si>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</si>
  <si>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</si>
  <si>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</si>
  <si>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GAJI SETAHUN</t>
  </si>
  <si>
    <t>JUMLAH PENGHASILAN BRUTO SETAHUN</t>
  </si>
  <si>
    <t>BONUS/THR</t>
  </si>
  <si>
    <t>TOTAL PENGURANG</t>
  </si>
  <si>
    <t>IURAN PENSIUN 1%</t>
  </si>
  <si>
    <t>IURAN JHT 2%</t>
  </si>
  <si>
    <t>SETAHUN</t>
  </si>
  <si>
    <t>SETAHUN ROUNDED</t>
  </si>
  <si>
    <t>TERHUTANG SETAHUN</t>
  </si>
  <si>
    <t>PPh21 JAN - NOV</t>
  </si>
  <si>
    <t>PPh 21 DESEMBER</t>
  </si>
  <si>
    <t>BULAN FEBRUARI 2024</t>
  </si>
  <si>
    <t>TOTAL GAJI BRUTO</t>
  </si>
  <si>
    <t>PPH 21 TERHUTANG</t>
  </si>
  <si>
    <t>GROSS UP</t>
  </si>
  <si>
    <t>YA</t>
  </si>
  <si>
    <t>TIDAK</t>
  </si>
  <si>
    <t>P. BRUTO</t>
  </si>
  <si>
    <t>BRUTO</t>
  </si>
  <si>
    <t>PENGHASILAN BRUTO JANUARI</t>
  </si>
  <si>
    <t>LAPOR BPJS</t>
  </si>
  <si>
    <t>TUNJANGAN</t>
  </si>
  <si>
    <t>TOTAL P. BRUTO</t>
  </si>
  <si>
    <t>PENGHASILAN BRUTO FEBRUARI</t>
  </si>
  <si>
    <t>PENGHASILAN BRUTO MARET</t>
  </si>
  <si>
    <t>PENGHASILAN BRUTO APRIL</t>
  </si>
  <si>
    <t>PENGHASILAN BRUTO MEI</t>
  </si>
  <si>
    <t>PENGHASILAN BRUTO JUNI</t>
  </si>
  <si>
    <t>PENGHASILAN BRUTO JULI</t>
  </si>
  <si>
    <t>PENGHASILAN BRUTO AGUSTUS</t>
  </si>
  <si>
    <t>PENGHASILAN BRUTO SEPTEMBER</t>
  </si>
  <si>
    <t>PENGHASILAN BRUTO OKTOBER</t>
  </si>
  <si>
    <t>PENGHASILAN BRUTO NOVEMBER</t>
  </si>
  <si>
    <t>PENGHASILAN BRUTO DESEMBER</t>
  </si>
  <si>
    <t>TJ. HARIAN</t>
  </si>
  <si>
    <t>TUNJANGAN PPH GROSS UP</t>
  </si>
  <si>
    <t>TUNJANGAN HARIAN/LAINYA</t>
  </si>
  <si>
    <t>PREMI ASURANSI</t>
  </si>
  <si>
    <t>HONORARIUM</t>
  </si>
  <si>
    <t>PKP-TUNJANGAN PAJAK</t>
  </si>
  <si>
    <t>TUNJANGAN PPH</t>
  </si>
  <si>
    <t>SELISIH</t>
  </si>
  <si>
    <t>PEMBERI KERJA 2%</t>
  </si>
  <si>
    <t>IURAN JHT PEMBERI KERJA 2%</t>
  </si>
  <si>
    <t>IURAN JHT TENAGA KERJA 3%</t>
  </si>
  <si>
    <t>TENAGA KERJA 1%</t>
  </si>
  <si>
    <t>IURAN JHT</t>
  </si>
  <si>
    <t>IURAN BPJS KES</t>
  </si>
  <si>
    <t>BPJS JKK,JKM</t>
  </si>
  <si>
    <t>TENAGA KERJA (1%)</t>
  </si>
  <si>
    <t>PEMBERI KERJA (4%)</t>
  </si>
  <si>
    <t>IURAN JP TK</t>
  </si>
  <si>
    <t>JUMLAH TUNJANGAN BPJS DITANGGUNG PESERTA</t>
  </si>
  <si>
    <t>JUMLAH TUNJANGAN BPJS DITANGGUNG PERUSAHAAN</t>
  </si>
  <si>
    <t>PEMBAYARAN BPJS BULANAN</t>
  </si>
  <si>
    <t>HP/KOMUNIKASI</t>
  </si>
  <si>
    <t>TRANSPORT/KENDARAAN</t>
  </si>
  <si>
    <t>TJ. KERJA</t>
  </si>
  <si>
    <t>TOTAL IURAN JHT/IP</t>
  </si>
  <si>
    <t>BY JABATAN GAJI</t>
  </si>
  <si>
    <t>BY JABATAN THR/BONUS</t>
  </si>
  <si>
    <t>CONTROL BALANCE</t>
  </si>
  <si>
    <t>MASA PAJAK</t>
  </si>
  <si>
    <t>TAHUN</t>
  </si>
  <si>
    <t>PEMBETULAN KE</t>
  </si>
  <si>
    <t>FILE COPY CSV UNTUK DIIMPOR KE ESPT</t>
  </si>
  <si>
    <t>Masa Pajak</t>
  </si>
  <si>
    <t>Tahun Pajak</t>
  </si>
  <si>
    <t>Pembetulan</t>
  </si>
  <si>
    <t>Nama</t>
  </si>
  <si>
    <t>Kode Pajak</t>
  </si>
  <si>
    <t>Jumlah Bruto</t>
  </si>
  <si>
    <t>Jumlah PPh</t>
  </si>
  <si>
    <t>Kode Negara</t>
  </si>
  <si>
    <t>21-100-01</t>
  </si>
  <si>
    <t>21-100-02</t>
  </si>
  <si>
    <t>21-100-03</t>
  </si>
  <si>
    <t>21-100-04</t>
  </si>
  <si>
    <t>21-100-05</t>
  </si>
  <si>
    <t>21-100-06</t>
  </si>
  <si>
    <t>NAMA KARYAWAN</t>
  </si>
  <si>
    <t>TOTAL GAJI BRUTO (JAN-NOV)</t>
  </si>
  <si>
    <t>PPH 21 TERHUTANG (JAN-NOV)</t>
  </si>
  <si>
    <t>Nomor Bukti Potong</t>
  </si>
  <si>
    <t>Masa Perolehan Awal</t>
  </si>
  <si>
    <t>Masa Perolehan Akhir</t>
  </si>
  <si>
    <t>NIK</t>
  </si>
  <si>
    <t>Alamat</t>
  </si>
  <si>
    <t>Jenis Kelamin</t>
  </si>
  <si>
    <t>Status PTKP</t>
  </si>
  <si>
    <t>Jumlah Tanggungan</t>
  </si>
  <si>
    <t>Nama Jabatan</t>
  </si>
  <si>
    <t>WP Luar Negeri</t>
  </si>
  <si>
    <t>TJ. GROSSUP</t>
  </si>
  <si>
    <t>TJ. LAINYA</t>
  </si>
  <si>
    <t>BONUS THR</t>
  </si>
  <si>
    <t>JUMLH BRUTO</t>
  </si>
  <si>
    <t>BY JAB</t>
  </si>
  <si>
    <t>IURAN JHT/THT</t>
  </si>
  <si>
    <t>TOTAL JML PENGURANG</t>
  </si>
  <si>
    <t>P. NETTO</t>
  </si>
  <si>
    <t>P. NETTO SEBELUMNYA</t>
  </si>
  <si>
    <t>JML P. NETTO SETAHUN</t>
  </si>
  <si>
    <t>PPH21 SETAHUN</t>
  </si>
  <si>
    <t>PPH21 YG TELAH DIPOTONG SEBELUMNYA</t>
  </si>
  <si>
    <t>PPH21 TERUTANG</t>
  </si>
  <si>
    <t>PPH21 YG TELAH DIPOTONG/DILUNASI</t>
  </si>
  <si>
    <t>Status Pindah</t>
  </si>
  <si>
    <t>NPWP Pemotong</t>
  </si>
  <si>
    <t>Nama Pemotong</t>
  </si>
  <si>
    <t>Tanggal Bukti Potong</t>
  </si>
  <si>
    <t>1.1-12.23-0000001</t>
  </si>
  <si>
    <t>K</t>
  </si>
  <si>
    <t>N</t>
  </si>
  <si>
    <t>1.1-12.23-0000002</t>
  </si>
  <si>
    <t>TK</t>
  </si>
  <si>
    <t>1.1-12.23-0000003</t>
  </si>
  <si>
    <t>1.1-12.23-0000004</t>
  </si>
  <si>
    <t>1.1-12.23-0000005</t>
  </si>
  <si>
    <t>1.1-12.23-0000006</t>
  </si>
  <si>
    <t>1.1-12.23-0000007</t>
  </si>
  <si>
    <t>JML TG</t>
  </si>
  <si>
    <t>STATUS TANGGUNGAN</t>
  </si>
  <si>
    <t>HONONARIUM &amp; IMBALAN LAIN SEJENISNYA</t>
  </si>
  <si>
    <t>BUKTI POTONG A1 TAHUNAN</t>
  </si>
  <si>
    <t>21-100-07</t>
  </si>
  <si>
    <t>21-100-08</t>
  </si>
  <si>
    <t>21-100-09</t>
  </si>
  <si>
    <t>21-100-10</t>
  </si>
  <si>
    <t>21-100-11</t>
  </si>
  <si>
    <t>21-100-12</t>
  </si>
  <si>
    <t>21-100-13</t>
  </si>
  <si>
    <t>21-100-14</t>
  </si>
  <si>
    <t>21-100-15</t>
  </si>
  <si>
    <t>21-100-16</t>
  </si>
  <si>
    <t>21-100-17</t>
  </si>
  <si>
    <t>21-100-18</t>
  </si>
  <si>
    <t>PEMOTONGAN PAJAK BULANAN DESEMBER</t>
  </si>
  <si>
    <t>INSENTIF/BONUS</t>
  </si>
  <si>
    <t>REKAP TJ HARIAN SETAHU</t>
  </si>
  <si>
    <t>JUMLAH JANUARI S/D NOVEMBER</t>
  </si>
  <si>
    <t>GAJI DILAPOR KE BPJS</t>
  </si>
  <si>
    <t>PPH21 TERHUTANG SETAHUN (ISI MANUAL COPY PASTE VALUE BERULANG DARI KOLOM PPH21 TERHUTANG SETAHUN SAMPAI KOLOM BN "0")</t>
  </si>
  <si>
    <t>Y</t>
  </si>
  <si>
    <t xml:space="preserve"> </t>
  </si>
  <si>
    <t>BULAN JANUARI-DESEMBER 2024</t>
  </si>
  <si>
    <t>Jawa Timur</t>
  </si>
  <si>
    <t>Bandung</t>
  </si>
  <si>
    <t>Jawa Barat</t>
  </si>
  <si>
    <t>Balikpapan</t>
  </si>
  <si>
    <t>PT.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</si>
</sst>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&quot;Rp&quot;#,##0_);\(&quot;Rp&quot;#,##0\)"/>
    <numFmt numFmtId="165" formatCode="&quot;Rp&quot;#,##0_);[Red]\(&quot;Rp&quot;#,##0\)"/>
    <numFmt numFmtId="166" formatCode="_(* #,##0_);_(* \(#,##0\);_(* &quot;-&quot;_);_(@_)"/>
    <numFmt numFmtId="167" formatCode="_(* #,##0.00_);_(* \(#,##0.00\);_(* &quot;-&quot;??_);_(@_)"/>
    <numFmt numFmtId="168" formatCode="000000000000000"/>
    <numFmt numFmtId="169" formatCode="_-* #,##0.0_-;\-* #,##0.0_-;_-* &quot;-&quot;??_-;_-@_-"/>
    <numFmt numFmtId="170" formatCode="&quot;$&quot;#,##0;[Red]\-&quot;$&quot;#,##0"/>
    <numFmt numFmtId="171" formatCode="_(* #,##0.00000000_);_(* \(#,##0.00000000\);_(* &quot;-&quot;????????_);_(@_)"/>
    <numFmt numFmtId="172" formatCode="_(* #,##0_);_(* \(#,##0\);_(* &quot;-&quot;?_);_(@_)"/>
    <numFmt numFmtId="173" formatCode="0000000000000000"/>
    <numFmt numFmtId="174" formatCode="_(* #,##0_);_(* \(#,##0\);_(* &quot;-&quot;??_);_(@_)"/>
    <numFmt numFmtId="175" formatCode="_-* #,##0_-;\-* #,##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1"/>
      <color rgb="FF000099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0"/>
      <color theme="8" tint="-0.249977111117893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2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8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8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3">
    <xf numFmtId="0" fontId="0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166" fontId="13" fillId="0" borderId="0" applyFont="0" applyFill="0" applyBorder="0" applyAlignment="0" applyProtection="0"/>
    <xf numFmtId="41" fontId="8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4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5" fillId="0" borderId="0" applyFont="0" applyFill="0" applyBorder="0" applyAlignment="0" applyProtection="0"/>
    <xf numFmtId="170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70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8" fillId="0" borderId="0"/>
    <xf numFmtId="0" fontId="14" fillId="0" borderId="0"/>
    <xf numFmtId="164" fontId="8" fillId="0" borderId="0"/>
    <xf numFmtId="0" fontId="15" fillId="0" borderId="0"/>
    <xf numFmtId="164" fontId="8" fillId="0" borderId="0"/>
    <xf numFmtId="164" fontId="8" fillId="0" borderId="0"/>
    <xf numFmtId="164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164" fontId="8" fillId="0" borderId="0"/>
    <xf numFmtId="164" fontId="8" fillId="0" borderId="0"/>
    <xf numFmtId="165" fontId="8" fillId="0" borderId="0"/>
    <xf numFmtId="164" fontId="8" fillId="0" borderId="0"/>
    <xf numFmtId="0" fontId="14" fillId="0" borderId="0"/>
    <xf numFmtId="164" fontId="8" fillId="0" borderId="0"/>
    <xf numFmtId="164" fontId="8" fillId="0" borderId="0"/>
    <xf numFmtId="164" fontId="8" fillId="0" borderId="0"/>
    <xf numFmtId="0" fontId="8" fillId="0" borderId="0"/>
    <xf numFmtId="164" fontId="8" fillId="0" borderId="0"/>
    <xf numFmtId="0" fontId="14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4" fontId="8" fillId="0" borderId="0"/>
    <xf numFmtId="169" fontId="8" fillId="0" borderId="0"/>
    <xf numFmtId="169" fontId="8" fillId="0" borderId="0"/>
    <xf numFmtId="0" fontId="17" fillId="0" borderId="0"/>
    <xf numFmtId="170" fontId="8" fillId="0" borderId="0"/>
    <xf numFmtId="164" fontId="8" fillId="0" borderId="0"/>
    <xf numFmtId="164" fontId="8" fillId="0" borderId="0"/>
    <xf numFmtId="170" fontId="8" fillId="0" borderId="0"/>
    <xf numFmtId="164" fontId="8" fillId="0" borderId="0"/>
    <xf numFmtId="0" fontId="16" fillId="0" borderId="0"/>
    <xf numFmtId="0" fontId="13" fillId="0" borderId="0"/>
    <xf numFmtId="171" fontId="13" fillId="0" borderId="0"/>
    <xf numFmtId="169" fontId="8" fillId="0" borderId="0"/>
    <xf numFmtId="169" fontId="8" fillId="0" borderId="0"/>
    <xf numFmtId="164" fontId="8" fillId="0" borderId="0"/>
    <xf numFmtId="9" fontId="16" fillId="0" borderId="0" applyFont="0" applyFill="0" applyBorder="0" applyAlignment="0" applyProtection="0"/>
    <xf numFmtId="0" fontId="7" fillId="0" borderId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41" fontId="4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" fillId="0" borderId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167" fontId="8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0" fontId="8" fillId="0" borderId="0"/>
    <xf numFmtId="0" fontId="2" fillId="0" borderId="0"/>
    <xf numFmtId="0" fontId="8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99">
    <xf numFmtId="0" fontId="0" fillId="0" borderId="0" xfId="0"/>
    <xf numFmtId="0" fontId="9" fillId="0" borderId="0" xfId="0" applyFont="1" applyAlignment="1">
      <alignment horizontal="left"/>
    </xf>
    <xf numFmtId="166" fontId="0" fillId="0" borderId="0" xfId="4" applyNumberFormat="1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166" fontId="9" fillId="2" borderId="1" xfId="4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4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41" fontId="0" fillId="0" borderId="1" xfId="2" applyNumberFormat="1" applyFont="1" applyFill="1" applyBorder="1" applyAlignment="1" applyProtection="1">
      <alignment vertical="center"/>
      <protection locked="0"/>
    </xf>
    <xf numFmtId="166" fontId="0" fillId="4" borderId="1" xfId="2" applyFont="1" applyFill="1" applyBorder="1" applyAlignment="1" applyProtection="1">
      <alignment vertical="center"/>
      <protection locked="0"/>
    </xf>
    <xf numFmtId="41" fontId="0" fillId="4" borderId="1" xfId="2" applyNumberFormat="1" applyFont="1" applyFill="1" applyBorder="1" applyAlignment="1" applyProtection="1">
      <alignment vertical="center"/>
      <protection locked="0"/>
    </xf>
    <xf numFmtId="172" fontId="0" fillId="0" borderId="1" xfId="2" applyNumberFormat="1" applyFont="1" applyFill="1" applyBorder="1" applyAlignment="1" applyProtection="1">
      <alignment vertical="center"/>
      <protection locked="0"/>
    </xf>
    <xf numFmtId="166" fontId="0" fillId="0" borderId="0" xfId="0" applyNumberFormat="1"/>
    <xf numFmtId="174" fontId="0" fillId="0" borderId="0" xfId="0" applyNumberFormat="1"/>
    <xf numFmtId="166" fontId="9" fillId="0" borderId="0" xfId="440" applyFont="1"/>
    <xf numFmtId="166" fontId="9" fillId="0" borderId="0" xfId="440" applyFont="1" applyAlignment="1">
      <alignment horizontal="center"/>
    </xf>
    <xf numFmtId="10" fontId="9" fillId="0" borderId="0" xfId="441" applyNumberFormat="1" applyFont="1" applyAlignment="1">
      <alignment horizontal="center"/>
    </xf>
    <xf numFmtId="0" fontId="9" fillId="0" borderId="0" xfId="442" applyFont="1"/>
    <xf numFmtId="166" fontId="9" fillId="0" borderId="0" xfId="440" applyFont="1" applyAlignment="1">
      <alignment vertical="center"/>
    </xf>
    <xf numFmtId="0" fontId="9" fillId="0" borderId="0" xfId="442" applyFont="1" applyAlignment="1">
      <alignment vertical="center"/>
    </xf>
    <xf numFmtId="10" fontId="9" fillId="4" borderId="0" xfId="441" applyNumberFormat="1" applyFont="1" applyFill="1" applyAlignment="1">
      <alignment horizontal="center" vertical="center"/>
    </xf>
    <xf numFmtId="166" fontId="0" fillId="0" borderId="0" xfId="440" applyFont="1"/>
    <xf numFmtId="166" fontId="0" fillId="0" borderId="0" xfId="440" applyFont="1" applyAlignment="1">
      <alignment horizontal="center"/>
    </xf>
    <xf numFmtId="10" fontId="0" fillId="0" borderId="0" xfId="441" applyNumberFormat="1" applyFont="1" applyAlignment="1">
      <alignment horizontal="center"/>
    </xf>
    <xf numFmtId="0" fontId="1" fillId="0" borderId="0" xfId="442"/>
    <xf numFmtId="166" fontId="0" fillId="0" borderId="0" xfId="440" applyFont="1" applyAlignment="1">
      <alignment horizontal="center" vertical="center"/>
    </xf>
    <xf numFmtId="10" fontId="0" fillId="0" borderId="0" xfId="441" applyNumberFormat="1" applyFont="1"/>
    <xf numFmtId="166" fontId="12" fillId="5" borderId="2" xfId="2" applyFont="1" applyFill="1" applyBorder="1" applyAlignment="1" applyProtection="1">
      <alignment vertical="center"/>
      <protection locked="0"/>
    </xf>
    <xf numFmtId="0" fontId="19" fillId="0" borderId="0" xfId="0" applyFont="1"/>
    <xf numFmtId="49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/>
    <xf numFmtId="10" fontId="0" fillId="0" borderId="0" xfId="439" applyNumberFormat="1" applyFont="1" applyProtection="1"/>
    <xf numFmtId="0" fontId="0" fillId="5" borderId="0" xfId="0" applyFill="1"/>
    <xf numFmtId="49" fontId="0" fillId="5" borderId="0" xfId="0" applyNumberFormat="1" applyFill="1"/>
    <xf numFmtId="0" fontId="0" fillId="5" borderId="0" xfId="0" applyFill="1" applyAlignment="1">
      <alignment horizontal="center" vertical="center"/>
    </xf>
    <xf numFmtId="168" fontId="0" fillId="5" borderId="0" xfId="0" applyNumberFormat="1" applyFill="1"/>
    <xf numFmtId="166" fontId="0" fillId="5" borderId="0" xfId="2" applyFont="1" applyFill="1" applyProtection="1"/>
    <xf numFmtId="0" fontId="0" fillId="5" borderId="0" xfId="0" applyFill="1" applyAlignment="1">
      <alignment horizontal="center"/>
    </xf>
    <xf numFmtId="10" fontId="0" fillId="5" borderId="0" xfId="439" applyNumberFormat="1" applyFont="1" applyFill="1" applyProtection="1"/>
    <xf numFmtId="166" fontId="0" fillId="5" borderId="0" xfId="0" applyNumberFormat="1" applyFill="1"/>
    <xf numFmtId="0" fontId="9" fillId="10" borderId="1" xfId="0" applyFont="1" applyFill="1" applyBorder="1" applyAlignment="1">
      <alignment horizontal="left" vertical="center" wrapText="1"/>
    </xf>
    <xf numFmtId="49" fontId="9" fillId="10" borderId="1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168" fontId="9" fillId="10" borderId="1" xfId="0" applyNumberFormat="1" applyFont="1" applyFill="1" applyBorder="1" applyAlignment="1">
      <alignment horizontal="center" vertical="center" wrapText="1"/>
    </xf>
    <xf numFmtId="41" fontId="9" fillId="10" borderId="1" xfId="2" applyNumberFormat="1" applyFont="1" applyFill="1" applyBorder="1" applyAlignment="1" applyProtection="1">
      <alignment horizontal="center" vertical="center" wrapText="1"/>
    </xf>
    <xf numFmtId="166" fontId="9" fillId="10" borderId="1" xfId="2" applyFont="1" applyFill="1" applyBorder="1" applyAlignment="1" applyProtection="1">
      <alignment horizontal="center" vertical="center" wrapText="1"/>
    </xf>
    <xf numFmtId="10" fontId="9" fillId="10" borderId="1" xfId="439" applyNumberFormat="1" applyFont="1" applyFill="1" applyBorder="1" applyAlignment="1" applyProtection="1">
      <alignment horizontal="center" vertical="center" wrapText="1"/>
    </xf>
    <xf numFmtId="167" fontId="12" fillId="5" borderId="2" xfId="1" applyFont="1" applyFill="1" applyBorder="1" applyAlignment="1" applyProtection="1">
      <alignment vertical="center"/>
      <protection locked="0"/>
    </xf>
    <xf numFmtId="0" fontId="10" fillId="10" borderId="9" xfId="0" applyFont="1" applyFill="1" applyBorder="1" applyAlignment="1">
      <alignment horizontal="left" vertical="center"/>
    </xf>
    <xf numFmtId="0" fontId="0" fillId="13" borderId="9" xfId="0" applyFill="1" applyBorder="1" applyAlignment="1" applyProtection="1">
      <alignment horizontal="center" vertical="center"/>
      <protection locked="0"/>
    </xf>
    <xf numFmtId="0" fontId="22" fillId="13" borderId="2" xfId="0" applyFont="1" applyFill="1" applyBorder="1" applyAlignment="1" applyProtection="1">
      <alignment horizontal="center" vertical="center" wrapText="1"/>
      <protection locked="0"/>
    </xf>
    <xf numFmtId="173" fontId="11" fillId="13" borderId="1" xfId="1" applyNumberFormat="1" applyFont="1" applyFill="1" applyBorder="1" applyAlignment="1" applyProtection="1">
      <alignment horizontal="left" vertical="center"/>
      <protection locked="0"/>
    </xf>
    <xf numFmtId="0" fontId="11" fillId="13" borderId="1" xfId="1" applyNumberFormat="1" applyFont="1" applyFill="1" applyBorder="1" applyAlignment="1" applyProtection="1">
      <alignment horizontal="center" vertical="center" wrapText="1"/>
      <protection locked="0"/>
    </xf>
    <xf numFmtId="168" fontId="0" fillId="13" borderId="1" xfId="0" applyNumberFormat="1" applyFill="1" applyBorder="1" applyAlignment="1" applyProtection="1">
      <alignment horizontal="center" vertical="center"/>
      <protection locked="0"/>
    </xf>
    <xf numFmtId="0" fontId="21" fillId="13" borderId="3" xfId="0" applyFont="1" applyFill="1" applyBorder="1" applyAlignment="1" applyProtection="1">
      <alignment horizontal="left" vertical="center"/>
      <protection locked="0"/>
    </xf>
    <xf numFmtId="0" fontId="20" fillId="13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vertical="center"/>
      <protection locked="0"/>
    </xf>
    <xf numFmtId="172" fontId="0" fillId="14" borderId="1" xfId="2" applyNumberFormat="1" applyFont="1" applyFill="1" applyBorder="1" applyAlignment="1" applyProtection="1">
      <alignment vertical="center"/>
      <protection locked="0"/>
    </xf>
    <xf numFmtId="172" fontId="9" fillId="14" borderId="1" xfId="2" applyNumberFormat="1" applyFont="1" applyFill="1" applyBorder="1" applyAlignment="1" applyProtection="1">
      <alignment vertical="center"/>
      <protection locked="0"/>
    </xf>
    <xf numFmtId="41" fontId="0" fillId="14" borderId="1" xfId="2" applyNumberFormat="1" applyFont="1" applyFill="1" applyBorder="1" applyAlignment="1" applyProtection="1">
      <alignment vertical="center"/>
      <protection locked="0"/>
    </xf>
    <xf numFmtId="174" fontId="12" fillId="6" borderId="3" xfId="1" applyNumberFormat="1" applyFont="1" applyFill="1" applyBorder="1" applyAlignment="1" applyProtection="1">
      <alignment vertical="center"/>
      <protection locked="0"/>
    </xf>
    <xf numFmtId="3" fontId="12" fillId="15" borderId="1" xfId="0" applyNumberFormat="1" applyFont="1" applyFill="1" applyBorder="1" applyAlignment="1" applyProtection="1">
      <alignment vertical="center"/>
      <protection locked="0"/>
    </xf>
    <xf numFmtId="0" fontId="10" fillId="0" borderId="0" xfId="0" applyFont="1"/>
    <xf numFmtId="10" fontId="0" fillId="13" borderId="1" xfId="439" applyNumberFormat="1" applyFont="1" applyFill="1" applyBorder="1" applyAlignment="1" applyProtection="1">
      <alignment horizontal="center"/>
      <protection hidden="1"/>
    </xf>
    <xf numFmtId="172" fontId="0" fillId="13" borderId="1" xfId="2" applyNumberFormat="1" applyFont="1" applyFill="1" applyBorder="1" applyAlignment="1" applyProtection="1">
      <alignment horizontal="center" vertical="center"/>
      <protection hidden="1"/>
    </xf>
    <xf numFmtId="0" fontId="0" fillId="13" borderId="11" xfId="0" applyFill="1" applyBorder="1" applyAlignment="1" applyProtection="1">
      <alignment horizontal="center" vertical="center"/>
      <protection locked="0"/>
    </xf>
    <xf numFmtId="0" fontId="22" fillId="13" borderId="12" xfId="0" applyFont="1" applyFill="1" applyBorder="1" applyAlignment="1" applyProtection="1">
      <alignment horizontal="center" vertical="center" wrapText="1"/>
      <protection locked="0"/>
    </xf>
    <xf numFmtId="173" fontId="11" fillId="13" borderId="13" xfId="1" applyNumberFormat="1" applyFont="1" applyFill="1" applyBorder="1" applyAlignment="1" applyProtection="1">
      <alignment horizontal="left" vertical="center"/>
      <protection locked="0"/>
    </xf>
    <xf numFmtId="0" fontId="11" fillId="13" borderId="13" xfId="1" applyNumberFormat="1" applyFont="1" applyFill="1" applyBorder="1" applyAlignment="1" applyProtection="1">
      <alignment horizontal="center" vertical="center" wrapText="1"/>
      <protection locked="0"/>
    </xf>
    <xf numFmtId="41" fontId="9" fillId="11" borderId="7" xfId="2" applyNumberFormat="1" applyFont="1" applyFill="1" applyBorder="1" applyAlignment="1" applyProtection="1">
      <alignment horizontal="center" vertical="center" wrapText="1"/>
      <protection locked="0"/>
    </xf>
    <xf numFmtId="173" fontId="11" fillId="13" borderId="1" xfId="1" quotePrefix="1" applyNumberFormat="1" applyFont="1" applyFill="1" applyBorder="1" applyAlignment="1" applyProtection="1">
      <alignment horizontal="left" vertical="center"/>
      <protection locked="0"/>
    </xf>
    <xf numFmtId="174" fontId="14" fillId="17" borderId="31" xfId="15" applyNumberFormat="1" applyFont="1" applyFill="1" applyBorder="1" applyAlignment="1" applyProtection="1">
      <alignment horizontal="center"/>
    </xf>
    <xf numFmtId="174" fontId="14" fillId="17" borderId="24" xfId="15" applyNumberFormat="1" applyFont="1" applyFill="1" applyBorder="1" applyAlignment="1" applyProtection="1">
      <alignment horizontal="center"/>
    </xf>
    <xf numFmtId="174" fontId="14" fillId="17" borderId="27" xfId="15" applyNumberFormat="1" applyFont="1" applyFill="1" applyBorder="1" applyAlignment="1" applyProtection="1">
      <alignment horizontal="center"/>
    </xf>
    <xf numFmtId="174" fontId="14" fillId="17" borderId="23" xfId="15" applyNumberFormat="1" applyFont="1" applyFill="1" applyBorder="1" applyAlignment="1" applyProtection="1">
      <alignment horizontal="center"/>
    </xf>
    <xf numFmtId="174" fontId="14" fillId="17" borderId="29" xfId="15" applyNumberFormat="1" applyFont="1" applyFill="1" applyBorder="1" applyAlignment="1" applyProtection="1">
      <alignment horizontal="center"/>
    </xf>
    <xf numFmtId="174" fontId="26" fillId="17" borderId="24" xfId="15" applyNumberFormat="1" applyFont="1" applyFill="1" applyBorder="1" applyAlignment="1" applyProtection="1">
      <alignment horizontal="center"/>
      <protection hidden="1"/>
    </xf>
    <xf numFmtId="174" fontId="14" fillId="17" borderId="22" xfId="15" applyNumberFormat="1" applyFont="1" applyFill="1" applyBorder="1" applyAlignment="1" applyProtection="1">
      <alignment horizontal="center"/>
      <protection hidden="1"/>
    </xf>
    <xf numFmtId="174" fontId="14" fillId="17" borderId="24" xfId="15" applyNumberFormat="1" applyFont="1" applyFill="1" applyBorder="1" applyAlignment="1" applyProtection="1">
      <alignment horizontal="center"/>
      <protection hidden="1"/>
    </xf>
    <xf numFmtId="174" fontId="14" fillId="5" borderId="23" xfId="15" applyNumberFormat="1" applyFont="1" applyFill="1" applyBorder="1" applyAlignment="1" applyProtection="1">
      <alignment horizontal="center"/>
      <protection locked="0"/>
    </xf>
    <xf numFmtId="174" fontId="28" fillId="17" borderId="31" xfId="15" applyNumberFormat="1" applyFont="1" applyFill="1" applyBorder="1" applyAlignment="1" applyProtection="1">
      <alignment horizontal="center"/>
      <protection hidden="1"/>
    </xf>
    <xf numFmtId="174" fontId="29" fillId="12" borderId="24" xfId="15" applyNumberFormat="1" applyFont="1" applyFill="1" applyBorder="1" applyAlignment="1" applyProtection="1">
      <alignment horizontal="center"/>
    </xf>
    <xf numFmtId="174" fontId="12" fillId="0" borderId="3" xfId="1" applyNumberFormat="1" applyFont="1" applyFill="1" applyBorder="1" applyAlignment="1" applyProtection="1">
      <alignment vertical="center"/>
      <protection locked="0"/>
    </xf>
    <xf numFmtId="174" fontId="0" fillId="0" borderId="1" xfId="1" applyNumberFormat="1" applyFont="1" applyFill="1" applyBorder="1" applyAlignment="1" applyProtection="1">
      <alignment horizontal="center" vertical="center"/>
      <protection locked="0"/>
    </xf>
    <xf numFmtId="174" fontId="12" fillId="0" borderId="2" xfId="1" applyNumberFormat="1" applyFont="1" applyFill="1" applyBorder="1" applyAlignment="1" applyProtection="1">
      <alignment vertical="center"/>
      <protection locked="0"/>
    </xf>
    <xf numFmtId="174" fontId="12" fillId="0" borderId="1" xfId="1" applyNumberFormat="1" applyFont="1" applyFill="1" applyBorder="1" applyAlignment="1" applyProtection="1">
      <alignment vertical="center"/>
      <protection locked="0"/>
    </xf>
    <xf numFmtId="174" fontId="0" fillId="0" borderId="1" xfId="1" applyNumberFormat="1" applyFont="1" applyFill="1" applyBorder="1" applyAlignment="1" applyProtection="1">
      <alignment vertical="center"/>
      <protection locked="0"/>
    </xf>
    <xf numFmtId="174" fontId="0" fillId="0" borderId="10" xfId="1" applyNumberFormat="1" applyFont="1" applyFill="1" applyBorder="1" applyAlignment="1" applyProtection="1">
      <alignment vertical="center"/>
      <protection locked="0"/>
    </xf>
    <xf numFmtId="174" fontId="10" fillId="7" borderId="15" xfId="1" applyNumberFormat="1" applyFont="1" applyFill="1" applyBorder="1" applyAlignment="1">
      <alignment vertical="center"/>
    </xf>
    <xf numFmtId="172" fontId="0" fillId="14" borderId="1" xfId="2" applyNumberFormat="1" applyFont="1" applyFill="1" applyBorder="1" applyAlignment="1" applyProtection="1">
      <alignment horizontal="center" vertical="center"/>
      <protection hidden="1"/>
    </xf>
    <xf numFmtId="166" fontId="9" fillId="11" borderId="19" xfId="2" applyFont="1" applyFill="1" applyBorder="1" applyAlignment="1" applyProtection="1">
      <alignment horizontal="center" vertical="center" wrapText="1"/>
      <protection locked="0"/>
    </xf>
    <xf numFmtId="166" fontId="9" fillId="11" borderId="23" xfId="2" applyFont="1" applyFill="1" applyBorder="1" applyAlignment="1" applyProtection="1">
      <alignment horizontal="center" vertical="center" wrapText="1"/>
      <protection locked="0"/>
    </xf>
    <xf numFmtId="10" fontId="9" fillId="11" borderId="23" xfId="439" applyNumberFormat="1" applyFont="1" applyFill="1" applyBorder="1" applyAlignment="1" applyProtection="1">
      <alignment horizontal="center" vertical="center" wrapText="1"/>
      <protection locked="0"/>
    </xf>
    <xf numFmtId="166" fontId="9" fillId="11" borderId="31" xfId="2" applyFont="1" applyFill="1" applyBorder="1" applyAlignment="1" applyProtection="1">
      <alignment horizontal="center" vertical="center" wrapText="1"/>
      <protection locked="0"/>
    </xf>
    <xf numFmtId="166" fontId="9" fillId="10" borderId="10" xfId="2" applyFont="1" applyFill="1" applyBorder="1" applyAlignment="1" applyProtection="1">
      <alignment horizontal="center" vertical="center" wrapText="1"/>
    </xf>
    <xf numFmtId="166" fontId="9" fillId="18" borderId="10" xfId="2" applyFont="1" applyFill="1" applyBorder="1" applyAlignment="1" applyProtection="1">
      <alignment horizontal="center" vertical="center"/>
      <protection locked="0"/>
    </xf>
    <xf numFmtId="172" fontId="9" fillId="14" borderId="10" xfId="2" applyNumberFormat="1" applyFont="1" applyFill="1" applyBorder="1" applyAlignment="1" applyProtection="1">
      <alignment vertical="center"/>
      <protection locked="0"/>
    </xf>
    <xf numFmtId="174" fontId="0" fillId="7" borderId="14" xfId="1" applyNumberFormat="1" applyFont="1" applyFill="1" applyBorder="1" applyAlignment="1">
      <alignment horizontal="center" vertical="center"/>
    </xf>
    <xf numFmtId="174" fontId="22" fillId="7" borderId="15" xfId="1" applyNumberFormat="1" applyFont="1" applyFill="1" applyBorder="1" applyAlignment="1">
      <alignment horizontal="center" vertical="center" wrapText="1"/>
    </xf>
    <xf numFmtId="174" fontId="11" fillId="7" borderId="16" xfId="1" applyNumberFormat="1" applyFont="1" applyFill="1" applyBorder="1" applyAlignment="1" applyProtection="1">
      <alignment horizontal="left" vertical="center"/>
    </xf>
    <xf numFmtId="174" fontId="11" fillId="7" borderId="16" xfId="1" applyNumberFormat="1" applyFont="1" applyFill="1" applyBorder="1" applyAlignment="1" applyProtection="1">
      <alignment horizontal="center" vertical="center" wrapText="1"/>
    </xf>
    <xf numFmtId="174" fontId="0" fillId="7" borderId="16" xfId="1" applyNumberFormat="1" applyFont="1" applyFill="1" applyBorder="1" applyAlignment="1">
      <alignment horizontal="center" vertical="center"/>
    </xf>
    <xf numFmtId="174" fontId="21" fillId="7" borderId="17" xfId="1" applyNumberFormat="1" applyFont="1" applyFill="1" applyBorder="1" applyAlignment="1">
      <alignment horizontal="left" vertical="center"/>
    </xf>
    <xf numFmtId="174" fontId="20" fillId="7" borderId="16" xfId="1" applyNumberFormat="1" applyFont="1" applyFill="1" applyBorder="1" applyAlignment="1">
      <alignment horizontal="center" vertical="center"/>
    </xf>
    <xf numFmtId="174" fontId="0" fillId="7" borderId="16" xfId="1" applyNumberFormat="1" applyFont="1" applyFill="1" applyBorder="1" applyAlignment="1">
      <alignment vertical="center"/>
    </xf>
    <xf numFmtId="174" fontId="11" fillId="7" borderId="16" xfId="1" applyNumberFormat="1" applyFont="1" applyFill="1" applyBorder="1" applyAlignment="1" applyProtection="1">
      <alignment horizontal="center" vertical="center"/>
    </xf>
    <xf numFmtId="174" fontId="10" fillId="7" borderId="15" xfId="1" applyNumberFormat="1" applyFont="1" applyFill="1" applyBorder="1" applyAlignment="1">
      <alignment horizontal="center" vertical="center"/>
    </xf>
    <xf numFmtId="174" fontId="10" fillId="7" borderId="41" xfId="1" applyNumberFormat="1" applyFont="1" applyFill="1" applyBorder="1" applyAlignment="1">
      <alignment vertical="center"/>
    </xf>
    <xf numFmtId="174" fontId="10" fillId="7" borderId="40" xfId="1" applyNumberFormat="1" applyFont="1" applyFill="1" applyBorder="1" applyAlignment="1">
      <alignment vertical="center"/>
    </xf>
    <xf numFmtId="174" fontId="0" fillId="5" borderId="0" xfId="1" applyNumberFormat="1" applyFont="1" applyFill="1"/>
    <xf numFmtId="174" fontId="23" fillId="7" borderId="15" xfId="1" applyNumberFormat="1" applyFont="1" applyFill="1" applyBorder="1" applyAlignment="1">
      <alignment vertical="center"/>
    </xf>
    <xf numFmtId="0" fontId="9" fillId="10" borderId="25" xfId="0" applyFont="1" applyFill="1" applyBorder="1" applyAlignment="1">
      <alignment horizontal="center" vertical="center" wrapText="1"/>
    </xf>
    <xf numFmtId="0" fontId="0" fillId="8" borderId="25" xfId="0" applyFill="1" applyBorder="1" applyAlignment="1" applyProtection="1">
      <alignment horizontal="center" vertical="center"/>
      <protection locked="0"/>
    </xf>
    <xf numFmtId="166" fontId="9" fillId="11" borderId="50" xfId="2" applyFont="1" applyFill="1" applyBorder="1" applyAlignment="1" applyProtection="1">
      <alignment horizontal="center" vertical="center" wrapText="1"/>
      <protection locked="0"/>
    </xf>
    <xf numFmtId="166" fontId="9" fillId="10" borderId="9" xfId="2" applyFont="1" applyFill="1" applyBorder="1" applyAlignment="1" applyProtection="1">
      <alignment horizontal="center" vertical="center" wrapText="1"/>
    </xf>
    <xf numFmtId="172" fontId="9" fillId="14" borderId="9" xfId="2" applyNumberFormat="1" applyFont="1" applyFill="1" applyBorder="1" applyAlignment="1" applyProtection="1">
      <alignment vertical="center"/>
      <protection locked="0"/>
    </xf>
    <xf numFmtId="172" fontId="9" fillId="14" borderId="7" xfId="2" applyNumberFormat="1" applyFont="1" applyFill="1" applyBorder="1" applyAlignment="1" applyProtection="1">
      <alignment vertical="center"/>
      <protection locked="0"/>
    </xf>
    <xf numFmtId="172" fontId="0" fillId="14" borderId="7" xfId="2" applyNumberFormat="1" applyFont="1" applyFill="1" applyBorder="1" applyAlignment="1" applyProtection="1">
      <alignment horizontal="center" vertical="center"/>
      <protection hidden="1"/>
    </xf>
    <xf numFmtId="0" fontId="9" fillId="5" borderId="0" xfId="0" applyFont="1" applyFill="1" applyAlignment="1">
      <alignment horizontal="center" vertical="center" wrapText="1"/>
    </xf>
    <xf numFmtId="41" fontId="9" fillId="5" borderId="0" xfId="2" applyNumberFormat="1" applyFont="1" applyFill="1" applyBorder="1" applyAlignment="1" applyProtection="1">
      <alignment horizontal="center" vertical="center" wrapText="1"/>
    </xf>
    <xf numFmtId="174" fontId="0" fillId="5" borderId="0" xfId="1" applyNumberFormat="1" applyFont="1" applyFill="1" applyBorder="1" applyAlignment="1" applyProtection="1">
      <alignment vertical="center"/>
      <protection locked="0"/>
    </xf>
    <xf numFmtId="174" fontId="10" fillId="5" borderId="0" xfId="1" applyNumberFormat="1" applyFont="1" applyFill="1" applyBorder="1" applyAlignment="1">
      <alignment vertical="center"/>
    </xf>
    <xf numFmtId="174" fontId="14" fillId="17" borderId="28" xfId="15" applyNumberFormat="1" applyFont="1" applyFill="1" applyBorder="1" applyAlignment="1" applyProtection="1">
      <alignment horizontal="center"/>
    </xf>
    <xf numFmtId="174" fontId="0" fillId="0" borderId="9" xfId="1" applyNumberFormat="1" applyFont="1" applyFill="1" applyBorder="1" applyAlignment="1" applyProtection="1">
      <alignment vertical="center"/>
      <protection locked="0"/>
    </xf>
    <xf numFmtId="174" fontId="10" fillId="7" borderId="52" xfId="1" applyNumberFormat="1" applyFont="1" applyFill="1" applyBorder="1" applyAlignment="1">
      <alignment vertical="center"/>
    </xf>
    <xf numFmtId="174" fontId="0" fillId="0" borderId="53" xfId="1" applyNumberFormat="1" applyFont="1" applyFill="1" applyBorder="1" applyAlignment="1" applyProtection="1">
      <alignment vertical="center"/>
      <protection locked="0"/>
    </xf>
    <xf numFmtId="0" fontId="20" fillId="13" borderId="3" xfId="0" applyFont="1" applyFill="1" applyBorder="1" applyAlignment="1" applyProtection="1">
      <alignment horizontal="left" vertical="center"/>
      <protection locked="0"/>
    </xf>
    <xf numFmtId="0" fontId="31" fillId="13" borderId="12" xfId="0" applyFont="1" applyFill="1" applyBorder="1" applyAlignment="1" applyProtection="1">
      <alignment horizontal="center" vertical="center" wrapText="1"/>
      <protection locked="0"/>
    </xf>
    <xf numFmtId="173" fontId="32" fillId="13" borderId="13" xfId="1" applyNumberFormat="1" applyFont="1" applyFill="1" applyBorder="1" applyAlignment="1" applyProtection="1">
      <alignment horizontal="left" vertical="center"/>
      <protection locked="0"/>
    </xf>
    <xf numFmtId="0" fontId="32" fillId="13" borderId="13" xfId="1" applyNumberFormat="1" applyFont="1" applyFill="1" applyBorder="1" applyAlignment="1" applyProtection="1">
      <alignment horizontal="center" vertical="center" wrapText="1"/>
      <protection locked="0"/>
    </xf>
    <xf numFmtId="0" fontId="31" fillId="13" borderId="1" xfId="0" applyFont="1" applyFill="1" applyBorder="1" applyAlignment="1" applyProtection="1">
      <alignment horizontal="center" vertical="center"/>
      <protection locked="0"/>
    </xf>
    <xf numFmtId="173" fontId="32" fillId="13" borderId="1" xfId="1" applyNumberFormat="1" applyFont="1" applyFill="1" applyBorder="1" applyAlignment="1" applyProtection="1">
      <alignment horizontal="left" vertical="center"/>
      <protection locked="0"/>
    </xf>
    <xf numFmtId="0" fontId="30" fillId="13" borderId="1" xfId="0" applyFont="1" applyFill="1" applyBorder="1" applyAlignment="1" applyProtection="1">
      <alignment vertical="center"/>
      <protection locked="0"/>
    </xf>
    <xf numFmtId="174" fontId="30" fillId="0" borderId="1" xfId="1" applyNumberFormat="1" applyFont="1" applyFill="1" applyBorder="1" applyAlignment="1" applyProtection="1">
      <alignment horizontal="center" vertical="center"/>
      <protection locked="0"/>
    </xf>
    <xf numFmtId="174" fontId="30" fillId="0" borderId="2" xfId="1" applyNumberFormat="1" applyFont="1" applyFill="1" applyBorder="1" applyAlignment="1" applyProtection="1">
      <alignment vertical="center"/>
      <protection locked="0"/>
    </xf>
    <xf numFmtId="174" fontId="30" fillId="0" borderId="3" xfId="1" applyNumberFormat="1" applyFont="1" applyFill="1" applyBorder="1" applyAlignment="1" applyProtection="1">
      <alignment vertical="center"/>
      <protection locked="0"/>
    </xf>
    <xf numFmtId="174" fontId="30" fillId="0" borderId="1" xfId="1" applyNumberFormat="1" applyFont="1" applyFill="1" applyBorder="1" applyAlignment="1" applyProtection="1">
      <alignment vertical="center"/>
      <protection locked="0"/>
    </xf>
    <xf numFmtId="174" fontId="30" fillId="0" borderId="10" xfId="1" applyNumberFormat="1" applyFont="1" applyFill="1" applyBorder="1" applyAlignment="1" applyProtection="1">
      <alignment vertical="center"/>
      <protection locked="0"/>
    </xf>
    <xf numFmtId="174" fontId="30" fillId="5" borderId="0" xfId="1" applyNumberFormat="1" applyFont="1" applyFill="1" applyBorder="1" applyAlignment="1" applyProtection="1">
      <alignment vertical="center"/>
      <protection locked="0"/>
    </xf>
    <xf numFmtId="174" fontId="25" fillId="17" borderId="23" xfId="15" applyNumberFormat="1" applyFont="1" applyFill="1" applyBorder="1" applyAlignment="1" applyProtection="1">
      <alignment horizontal="center"/>
    </xf>
    <xf numFmtId="174" fontId="25" fillId="5" borderId="23" xfId="15" applyNumberFormat="1" applyFont="1" applyFill="1" applyBorder="1" applyAlignment="1" applyProtection="1">
      <alignment horizontal="center"/>
      <protection locked="0"/>
    </xf>
    <xf numFmtId="0" fontId="30" fillId="5" borderId="0" xfId="0" applyFont="1" applyFill="1"/>
    <xf numFmtId="175" fontId="27" fillId="5" borderId="1" xfId="15" applyNumberFormat="1" applyFont="1" applyFill="1" applyBorder="1" applyProtection="1">
      <protection locked="0" hidden="1"/>
    </xf>
    <xf numFmtId="175" fontId="14" fillId="17" borderId="1" xfId="15" applyNumberFormat="1" applyFont="1" applyFill="1" applyBorder="1" applyProtection="1">
      <protection hidden="1"/>
    </xf>
    <xf numFmtId="0" fontId="14" fillId="16" borderId="7" xfId="0" applyFont="1" applyFill="1" applyBorder="1" applyAlignment="1" applyProtection="1">
      <alignment horizontal="center" vertical="center" wrapText="1"/>
      <protection hidden="1"/>
    </xf>
    <xf numFmtId="174" fontId="14" fillId="17" borderId="23" xfId="15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wrapText="1"/>
    </xf>
    <xf numFmtId="41" fontId="9" fillId="11" borderId="19" xfId="2" applyNumberFormat="1" applyFont="1" applyFill="1" applyBorder="1" applyAlignment="1" applyProtection="1">
      <alignment vertical="center" wrapText="1"/>
      <protection locked="0"/>
    </xf>
    <xf numFmtId="41" fontId="9" fillId="11" borderId="54" xfId="2" applyNumberFormat="1" applyFont="1" applyFill="1" applyBorder="1" applyAlignment="1" applyProtection="1">
      <alignment vertical="center" wrapText="1"/>
      <protection locked="0"/>
    </xf>
    <xf numFmtId="41" fontId="0" fillId="19" borderId="1" xfId="2" applyNumberFormat="1" applyFont="1" applyFill="1" applyBorder="1" applyAlignment="1" applyProtection="1">
      <alignment vertical="center"/>
      <protection locked="0"/>
    </xf>
    <xf numFmtId="41" fontId="9" fillId="10" borderId="5" xfId="2" applyNumberFormat="1" applyFont="1" applyFill="1" applyBorder="1" applyAlignment="1" applyProtection="1">
      <alignment horizontal="center" vertical="center" wrapText="1"/>
    </xf>
    <xf numFmtId="166" fontId="9" fillId="10" borderId="5" xfId="2" applyFont="1" applyFill="1" applyBorder="1" applyAlignment="1" applyProtection="1">
      <alignment horizontal="center" vertical="center" wrapText="1"/>
    </xf>
    <xf numFmtId="174" fontId="0" fillId="18" borderId="1" xfId="0" applyNumberFormat="1" applyFill="1" applyBorder="1"/>
    <xf numFmtId="0" fontId="0" fillId="5" borderId="0" xfId="0" applyFill="1" applyAlignment="1">
      <alignment horizontal="right"/>
    </xf>
    <xf numFmtId="174" fontId="27" fillId="17" borderId="22" xfId="15" applyNumberFormat="1" applyFont="1" applyFill="1" applyBorder="1" applyAlignment="1" applyProtection="1">
      <alignment horizontal="center"/>
      <protection locked="0" hidden="1"/>
    </xf>
    <xf numFmtId="41" fontId="30" fillId="0" borderId="1" xfId="2" applyNumberFormat="1" applyFont="1" applyFill="1" applyBorder="1" applyAlignment="1" applyProtection="1">
      <alignment vertical="center"/>
      <protection locked="0"/>
    </xf>
    <xf numFmtId="174" fontId="14" fillId="17" borderId="9" xfId="0" applyNumberFormat="1" applyFont="1" applyFill="1" applyBorder="1" applyProtection="1">
      <protection hidden="1"/>
    </xf>
    <xf numFmtId="175" fontId="14" fillId="17" borderId="10" xfId="15" applyNumberFormat="1" applyFont="1" applyFill="1" applyBorder="1" applyProtection="1">
      <protection hidden="1"/>
    </xf>
    <xf numFmtId="3" fontId="10" fillId="5" borderId="2" xfId="0" applyNumberFormat="1" applyFont="1" applyFill="1" applyBorder="1" applyAlignment="1" applyProtection="1">
      <alignment vertical="center"/>
      <protection locked="0"/>
    </xf>
    <xf numFmtId="0" fontId="9" fillId="10" borderId="9" xfId="0" applyFont="1" applyFill="1" applyBorder="1" applyAlignment="1">
      <alignment horizontal="center" vertical="center" wrapText="1"/>
    </xf>
    <xf numFmtId="3" fontId="10" fillId="5" borderId="58" xfId="0" applyNumberFormat="1" applyFont="1" applyFill="1" applyBorder="1" applyAlignment="1" applyProtection="1">
      <alignment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3" fontId="10" fillId="5" borderId="59" xfId="0" applyNumberFormat="1" applyFont="1" applyFill="1" applyBorder="1" applyAlignment="1" applyProtection="1">
      <alignment vertical="center"/>
      <protection locked="0"/>
    </xf>
    <xf numFmtId="3" fontId="10" fillId="5" borderId="60" xfId="0" applyNumberFormat="1" applyFont="1" applyFill="1" applyBorder="1" applyAlignment="1" applyProtection="1">
      <alignment vertical="center"/>
      <protection locked="0"/>
    </xf>
    <xf numFmtId="174" fontId="12" fillId="6" borderId="63" xfId="1" applyNumberFormat="1" applyFont="1" applyFill="1" applyBorder="1" applyAlignment="1" applyProtection="1">
      <alignment vertical="center"/>
      <protection locked="0"/>
    </xf>
    <xf numFmtId="3" fontId="12" fillId="15" borderId="7" xfId="0" applyNumberFormat="1" applyFont="1" applyFill="1" applyBorder="1" applyAlignment="1" applyProtection="1">
      <alignment vertical="center"/>
      <protection locked="0"/>
    </xf>
    <xf numFmtId="41" fontId="0" fillId="14" borderId="7" xfId="2" applyNumberFormat="1" applyFont="1" applyFill="1" applyBorder="1" applyAlignment="1" applyProtection="1">
      <alignment vertical="center"/>
      <protection locked="0"/>
    </xf>
    <xf numFmtId="167" fontId="12" fillId="5" borderId="60" xfId="1" applyFont="1" applyFill="1" applyBorder="1" applyAlignment="1" applyProtection="1">
      <alignment vertical="center"/>
      <protection locked="0"/>
    </xf>
    <xf numFmtId="166" fontId="12" fillId="5" borderId="60" xfId="2" applyFont="1" applyFill="1" applyBorder="1" applyAlignment="1" applyProtection="1">
      <alignment vertical="center"/>
      <protection locked="0"/>
    </xf>
    <xf numFmtId="41" fontId="0" fillId="0" borderId="7" xfId="2" applyNumberFormat="1" applyFont="1" applyFill="1" applyBorder="1" applyAlignment="1" applyProtection="1">
      <alignment vertical="center"/>
      <protection locked="0"/>
    </xf>
    <xf numFmtId="41" fontId="30" fillId="0" borderId="7" xfId="2" applyNumberFormat="1" applyFont="1" applyFill="1" applyBorder="1" applyAlignment="1" applyProtection="1">
      <alignment vertical="center"/>
      <protection locked="0"/>
    </xf>
    <xf numFmtId="166" fontId="0" fillId="4" borderId="7" xfId="2" applyFont="1" applyFill="1" applyBorder="1" applyAlignment="1" applyProtection="1">
      <alignment vertical="center"/>
      <protection locked="0"/>
    </xf>
    <xf numFmtId="41" fontId="0" fillId="4" borderId="7" xfId="2" applyNumberFormat="1" applyFont="1" applyFill="1" applyBorder="1" applyAlignment="1" applyProtection="1">
      <alignment vertical="center"/>
      <protection locked="0"/>
    </xf>
    <xf numFmtId="41" fontId="0" fillId="19" borderId="7" xfId="2" applyNumberFormat="1" applyFont="1" applyFill="1" applyBorder="1" applyAlignment="1" applyProtection="1">
      <alignment vertical="center"/>
      <protection locked="0"/>
    </xf>
    <xf numFmtId="172" fontId="0" fillId="0" borderId="7" xfId="2" applyNumberFormat="1" applyFont="1" applyFill="1" applyBorder="1" applyAlignment="1" applyProtection="1">
      <alignment vertical="center"/>
      <protection locked="0"/>
    </xf>
    <xf numFmtId="172" fontId="0" fillId="14" borderId="7" xfId="2" applyNumberFormat="1" applyFont="1" applyFill="1" applyBorder="1" applyAlignment="1" applyProtection="1">
      <alignment vertical="center"/>
      <protection locked="0"/>
    </xf>
    <xf numFmtId="172" fontId="9" fillId="14" borderId="8" xfId="2" applyNumberFormat="1" applyFont="1" applyFill="1" applyBorder="1" applyAlignment="1" applyProtection="1">
      <alignment vertical="center"/>
      <protection locked="0"/>
    </xf>
    <xf numFmtId="0" fontId="11" fillId="13" borderId="25" xfId="1" applyNumberFormat="1" applyFont="1" applyFill="1" applyBorder="1" applyAlignment="1" applyProtection="1">
      <alignment horizontal="center" vertical="center" wrapText="1"/>
      <protection locked="0"/>
    </xf>
    <xf numFmtId="0" fontId="32" fillId="13" borderId="25" xfId="1" applyNumberFormat="1" applyFont="1" applyFill="1" applyBorder="1" applyAlignment="1" applyProtection="1">
      <alignment horizontal="center" vertical="center" wrapText="1"/>
      <protection locked="0"/>
    </xf>
    <xf numFmtId="174" fontId="0" fillId="0" borderId="9" xfId="1" applyNumberFormat="1" applyFont="1" applyFill="1" applyBorder="1" applyAlignment="1" applyProtection="1">
      <alignment horizontal="center" vertical="center"/>
      <protection locked="0"/>
    </xf>
    <xf numFmtId="0" fontId="0" fillId="20" borderId="56" xfId="0" applyFill="1" applyBorder="1"/>
    <xf numFmtId="0" fontId="0" fillId="20" borderId="0" xfId="0" applyFill="1"/>
    <xf numFmtId="0" fontId="0" fillId="20" borderId="57" xfId="0" applyFill="1" applyBorder="1"/>
    <xf numFmtId="0" fontId="19" fillId="5" borderId="0" xfId="0" applyFont="1" applyFill="1"/>
    <xf numFmtId="174" fontId="0" fillId="5" borderId="0" xfId="1" applyNumberFormat="1" applyFont="1" applyFill="1" applyProtection="1"/>
    <xf numFmtId="167" fontId="0" fillId="5" borderId="0" xfId="0" applyNumberFormat="1" applyFill="1"/>
    <xf numFmtId="0" fontId="10" fillId="5" borderId="0" xfId="0" applyFont="1" applyFill="1"/>
    <xf numFmtId="174" fontId="0" fillId="5" borderId="0" xfId="0" applyNumberFormat="1" applyFill="1"/>
    <xf numFmtId="0" fontId="9" fillId="5" borderId="64" xfId="0" applyFont="1" applyFill="1" applyBorder="1" applyAlignment="1" applyProtection="1">
      <alignment vertical="center" wrapText="1"/>
      <protection locked="0"/>
    </xf>
    <xf numFmtId="49" fontId="9" fillId="5" borderId="64" xfId="0" applyNumberFormat="1" applyFont="1" applyFill="1" applyBorder="1" applyAlignment="1" applyProtection="1">
      <alignment vertical="center" wrapText="1"/>
      <protection locked="0"/>
    </xf>
    <xf numFmtId="168" fontId="9" fillId="5" borderId="64" xfId="0" applyNumberFormat="1" applyFont="1" applyFill="1" applyBorder="1" applyAlignment="1" applyProtection="1">
      <alignment vertical="center" wrapText="1"/>
      <protection locked="0"/>
    </xf>
    <xf numFmtId="0" fontId="9" fillId="5" borderId="0" xfId="0" applyFont="1" applyFill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vertical="center" wrapText="1"/>
      <protection hidden="1"/>
    </xf>
    <xf numFmtId="0" fontId="14" fillId="5" borderId="0" xfId="0" applyFont="1" applyFill="1" applyAlignment="1" applyProtection="1">
      <alignment vertical="center"/>
      <protection hidden="1"/>
    </xf>
    <xf numFmtId="0" fontId="14" fillId="21" borderId="6" xfId="0" applyFont="1" applyFill="1" applyBorder="1" applyAlignment="1" applyProtection="1">
      <alignment horizontal="center" vertical="center" wrapText="1"/>
      <protection hidden="1"/>
    </xf>
    <xf numFmtId="0" fontId="14" fillId="21" borderId="7" xfId="0" applyFont="1" applyFill="1" applyBorder="1" applyAlignment="1" applyProtection="1">
      <alignment horizontal="center" vertical="center" wrapText="1"/>
      <protection hidden="1"/>
    </xf>
    <xf numFmtId="0" fontId="14" fillId="21" borderId="8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174" fontId="10" fillId="7" borderId="17" xfId="1" applyNumberFormat="1" applyFont="1" applyFill="1" applyBorder="1" applyAlignment="1">
      <alignment vertical="center"/>
    </xf>
    <xf numFmtId="174" fontId="30" fillId="0" borderId="9" xfId="1" applyNumberFormat="1" applyFont="1" applyFill="1" applyBorder="1" applyAlignment="1" applyProtection="1">
      <alignment vertical="center"/>
      <protection locked="0"/>
    </xf>
    <xf numFmtId="0" fontId="10" fillId="20" borderId="22" xfId="0" applyFont="1" applyFill="1" applyBorder="1" applyAlignment="1">
      <alignment horizontal="left" vertical="center"/>
    </xf>
    <xf numFmtId="0" fontId="9" fillId="20" borderId="23" xfId="0" applyFont="1" applyFill="1" applyBorder="1" applyAlignment="1">
      <alignment horizontal="left" vertical="center" wrapText="1"/>
    </xf>
    <xf numFmtId="49" fontId="9" fillId="20" borderId="23" xfId="0" applyNumberFormat="1" applyFont="1" applyFill="1" applyBorder="1" applyAlignment="1">
      <alignment horizontal="left" vertical="center" wrapText="1"/>
    </xf>
    <xf numFmtId="0" fontId="9" fillId="20" borderId="23" xfId="0" applyFont="1" applyFill="1" applyBorder="1" applyAlignment="1">
      <alignment horizontal="center" vertical="center" wrapText="1"/>
    </xf>
    <xf numFmtId="168" fontId="9" fillId="20" borderId="23" xfId="0" applyNumberFormat="1" applyFont="1" applyFill="1" applyBorder="1" applyAlignment="1">
      <alignment horizontal="center" vertical="center" wrapText="1"/>
    </xf>
    <xf numFmtId="0" fontId="9" fillId="20" borderId="24" xfId="0" applyFont="1" applyFill="1" applyBorder="1" applyAlignment="1">
      <alignment horizontal="center" vertical="center" wrapText="1"/>
    </xf>
    <xf numFmtId="0" fontId="9" fillId="20" borderId="22" xfId="0" applyFont="1" applyFill="1" applyBorder="1" applyAlignment="1">
      <alignment horizontal="center" vertical="center" wrapText="1"/>
    </xf>
    <xf numFmtId="41" fontId="9" fillId="20" borderId="23" xfId="2" applyNumberFormat="1" applyFont="1" applyFill="1" applyBorder="1" applyAlignment="1" applyProtection="1">
      <alignment horizontal="center" vertical="center" wrapText="1"/>
    </xf>
    <xf numFmtId="41" fontId="9" fillId="20" borderId="24" xfId="2" applyNumberFormat="1" applyFont="1" applyFill="1" applyBorder="1" applyAlignment="1" applyProtection="1">
      <alignment horizontal="center" vertical="center" wrapText="1"/>
    </xf>
    <xf numFmtId="41" fontId="9" fillId="20" borderId="22" xfId="2" applyNumberFormat="1" applyFont="1" applyFill="1" applyBorder="1" applyAlignment="1" applyProtection="1">
      <alignment horizontal="center" vertical="center" wrapText="1"/>
    </xf>
    <xf numFmtId="41" fontId="9" fillId="20" borderId="31" xfId="2" applyNumberFormat="1" applyFont="1" applyFill="1" applyBorder="1" applyAlignment="1" applyProtection="1">
      <alignment horizontal="center" vertical="center" wrapText="1"/>
    </xf>
    <xf numFmtId="0" fontId="9" fillId="11" borderId="16" xfId="0" applyFont="1" applyFill="1" applyBorder="1" applyAlignment="1" applyProtection="1">
      <alignment horizontal="center" vertical="center" wrapText="1"/>
      <protection locked="0"/>
    </xf>
    <xf numFmtId="0" fontId="9" fillId="11" borderId="50" xfId="0" applyFont="1" applyFill="1" applyBorder="1" applyAlignment="1">
      <alignment horizontal="center" vertical="center" wrapText="1"/>
    </xf>
    <xf numFmtId="0" fontId="9" fillId="11" borderId="19" xfId="0" applyFont="1" applyFill="1" applyBorder="1" applyAlignment="1">
      <alignment horizontal="center" vertical="center" wrapText="1"/>
    </xf>
    <xf numFmtId="49" fontId="9" fillId="11" borderId="16" xfId="0" applyNumberFormat="1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11" borderId="46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41" fontId="9" fillId="20" borderId="53" xfId="2" applyNumberFormat="1" applyFont="1" applyFill="1" applyBorder="1" applyAlignment="1" applyProtection="1">
      <alignment horizontal="center" vertical="center" wrapText="1"/>
    </xf>
    <xf numFmtId="0" fontId="0" fillId="20" borderId="29" xfId="0" applyFill="1" applyBorder="1"/>
    <xf numFmtId="0" fontId="0" fillId="20" borderId="23" xfId="0" applyFill="1" applyBorder="1"/>
    <xf numFmtId="0" fontId="0" fillId="20" borderId="24" xfId="0" applyFill="1" applyBorder="1"/>
    <xf numFmtId="0" fontId="0" fillId="20" borderId="22" xfId="0" applyFill="1" applyBorder="1"/>
    <xf numFmtId="0" fontId="0" fillId="20" borderId="31" xfId="0" applyFill="1" applyBorder="1"/>
    <xf numFmtId="0" fontId="14" fillId="16" borderId="50" xfId="0" applyFont="1" applyFill="1" applyBorder="1" applyAlignment="1" applyProtection="1">
      <alignment horizontal="center" vertical="center" wrapText="1"/>
      <protection hidden="1"/>
    </xf>
    <xf numFmtId="0" fontId="14" fillId="16" borderId="19" xfId="0" applyFont="1" applyFill="1" applyBorder="1" applyAlignment="1" applyProtection="1">
      <alignment horizontal="center" vertical="center" wrapText="1"/>
      <protection hidden="1"/>
    </xf>
    <xf numFmtId="0" fontId="14" fillId="16" borderId="46" xfId="0" applyFont="1" applyFill="1" applyBorder="1" applyAlignment="1" applyProtection="1">
      <alignment horizontal="center" vertical="center" wrapText="1"/>
      <protection hidden="1"/>
    </xf>
    <xf numFmtId="0" fontId="14" fillId="16" borderId="66" xfId="0" applyFont="1" applyFill="1" applyBorder="1" applyAlignment="1" applyProtection="1">
      <alignment horizontal="center" vertical="center" wrapText="1"/>
      <protection hidden="1"/>
    </xf>
    <xf numFmtId="0" fontId="14" fillId="16" borderId="50" xfId="0" applyFont="1" applyFill="1" applyBorder="1" applyAlignment="1" applyProtection="1">
      <alignment horizontal="center" vertical="center"/>
      <protection hidden="1"/>
    </xf>
    <xf numFmtId="0" fontId="14" fillId="16" borderId="49" xfId="0" applyFont="1" applyFill="1" applyBorder="1" applyAlignment="1" applyProtection="1">
      <alignment horizontal="center" vertical="center" wrapText="1"/>
      <protection hidden="1"/>
    </xf>
    <xf numFmtId="0" fontId="34" fillId="21" borderId="7" xfId="0" applyFont="1" applyFill="1" applyBorder="1" applyAlignment="1" applyProtection="1">
      <alignment horizontal="center" vertical="center" wrapText="1"/>
      <protection hidden="1"/>
    </xf>
    <xf numFmtId="41" fontId="9" fillId="11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11" borderId="7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 applyProtection="1">
      <alignment horizontal="center" vertical="center" wrapText="1"/>
      <protection locked="0"/>
    </xf>
    <xf numFmtId="172" fontId="0" fillId="0" borderId="1" xfId="0" applyNumberFormat="1" applyBorder="1"/>
    <xf numFmtId="174" fontId="10" fillId="7" borderId="1" xfId="1" applyNumberFormat="1" applyFont="1" applyFill="1" applyBorder="1" applyAlignment="1">
      <alignment vertical="center"/>
    </xf>
    <xf numFmtId="174" fontId="11" fillId="7" borderId="43" xfId="1" applyNumberFormat="1" applyFont="1" applyFill="1" applyBorder="1" applyAlignment="1" applyProtection="1">
      <alignment horizontal="center" vertical="center"/>
    </xf>
    <xf numFmtId="174" fontId="10" fillId="7" borderId="51" xfId="1" applyNumberFormat="1" applyFont="1" applyFill="1" applyBorder="1" applyAlignment="1">
      <alignment vertical="center"/>
    </xf>
    <xf numFmtId="174" fontId="23" fillId="7" borderId="40" xfId="1" applyNumberFormat="1" applyFont="1" applyFill="1" applyBorder="1" applyAlignment="1">
      <alignment vertical="center"/>
    </xf>
    <xf numFmtId="174" fontId="14" fillId="5" borderId="16" xfId="1" applyNumberFormat="1" applyFont="1" applyFill="1" applyBorder="1" applyProtection="1">
      <protection hidden="1"/>
    </xf>
    <xf numFmtId="174" fontId="14" fillId="5" borderId="44" xfId="1" applyNumberFormat="1" applyFont="1" applyFill="1" applyBorder="1" applyProtection="1">
      <protection hidden="1"/>
    </xf>
    <xf numFmtId="174" fontId="0" fillId="5" borderId="1" xfId="1" applyNumberFormat="1" applyFont="1" applyFill="1" applyBorder="1"/>
    <xf numFmtId="174" fontId="0" fillId="0" borderId="1" xfId="1" applyNumberFormat="1" applyFont="1" applyBorder="1"/>
    <xf numFmtId="0" fontId="0" fillId="5" borderId="0" xfId="0" applyFill="1" applyProtection="1">
      <protection locked="0"/>
    </xf>
    <xf numFmtId="0" fontId="14" fillId="5" borderId="23" xfId="0" applyFont="1" applyFill="1" applyBorder="1" applyProtection="1">
      <protection locked="0"/>
    </xf>
    <xf numFmtId="0" fontId="14" fillId="5" borderId="23" xfId="0" applyFont="1" applyFill="1" applyBorder="1" applyAlignment="1" applyProtection="1">
      <alignment horizontal="center"/>
      <protection locked="0"/>
    </xf>
    <xf numFmtId="0" fontId="14" fillId="5" borderId="1" xfId="0" applyFont="1" applyFill="1" applyBorder="1" applyProtection="1">
      <protection locked="0"/>
    </xf>
    <xf numFmtId="0" fontId="14" fillId="5" borderId="1" xfId="0" applyFont="1" applyFill="1" applyBorder="1" applyAlignment="1" applyProtection="1">
      <alignment horizontal="center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75" fontId="14" fillId="20" borderId="1" xfId="15" applyNumberFormat="1" applyFont="1" applyFill="1" applyBorder="1" applyAlignment="1" applyProtection="1">
      <alignment horizontal="center"/>
      <protection locked="0"/>
    </xf>
    <xf numFmtId="0" fontId="14" fillId="20" borderId="1" xfId="0" applyFont="1" applyFill="1" applyBorder="1" applyProtection="1">
      <protection locked="0"/>
    </xf>
    <xf numFmtId="175" fontId="14" fillId="20" borderId="1" xfId="0" applyNumberFormat="1" applyFont="1" applyFill="1" applyBorder="1" applyProtection="1">
      <protection locked="0"/>
    </xf>
    <xf numFmtId="174" fontId="14" fillId="20" borderId="1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0" fillId="20" borderId="1" xfId="0" applyFill="1" applyBorder="1" applyProtection="1">
      <protection locked="0"/>
    </xf>
    <xf numFmtId="175" fontId="14" fillId="5" borderId="1" xfId="15" applyNumberFormat="1" applyFont="1" applyFill="1" applyBorder="1" applyAlignment="1" applyProtection="1">
      <alignment horizontal="center"/>
      <protection locked="0"/>
    </xf>
    <xf numFmtId="175" fontId="14" fillId="5" borderId="1" xfId="0" applyNumberFormat="1" applyFont="1" applyFill="1" applyBorder="1" applyProtection="1">
      <protection locked="0"/>
    </xf>
    <xf numFmtId="174" fontId="14" fillId="5" borderId="1" xfId="0" applyNumberFormat="1" applyFont="1" applyFill="1" applyBorder="1" applyProtection="1">
      <protection locked="0"/>
    </xf>
    <xf numFmtId="0" fontId="0" fillId="0" borderId="1" xfId="0" applyBorder="1" applyProtection="1">
      <protection locked="0"/>
    </xf>
    <xf numFmtId="173" fontId="0" fillId="0" borderId="1" xfId="0" applyNumberFormat="1" applyBorder="1" applyProtection="1">
      <protection locked="0"/>
    </xf>
    <xf numFmtId="174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5" borderId="1" xfId="0" applyFill="1" applyBorder="1" applyProtection="1">
      <protection locked="0"/>
    </xf>
    <xf numFmtId="0" fontId="30" fillId="5" borderId="0" xfId="0" applyFont="1" applyFill="1" applyProtection="1">
      <protection locked="0"/>
    </xf>
    <xf numFmtId="0" fontId="30" fillId="5" borderId="1" xfId="0" applyFont="1" applyFill="1" applyBorder="1" applyProtection="1">
      <protection locked="0"/>
    </xf>
    <xf numFmtId="0" fontId="11" fillId="13" borderId="1" xfId="1" quotePrefix="1" applyNumberFormat="1" applyFont="1" applyFill="1" applyBorder="1" applyAlignment="1" applyProtection="1">
      <alignment horizontal="center" vertical="center" wrapText="1"/>
      <protection locked="0"/>
    </xf>
    <xf numFmtId="0" fontId="11" fillId="5" borderId="1" xfId="1" applyNumberFormat="1" applyFont="1" applyFill="1" applyBorder="1" applyAlignment="1" applyProtection="1">
      <alignment horizontal="center" vertical="center" wrapText="1"/>
      <protection locked="0"/>
    </xf>
    <xf numFmtId="166" fontId="9" fillId="18" borderId="67" xfId="2" applyFont="1" applyFill="1" applyBorder="1" applyAlignment="1" applyProtection="1">
      <alignment horizontal="center" vertical="center"/>
      <protection locked="0"/>
    </xf>
    <xf numFmtId="174" fontId="35" fillId="7" borderId="68" xfId="1" applyNumberFormat="1" applyFont="1" applyFill="1" applyBorder="1" applyAlignment="1">
      <alignment vertical="center"/>
    </xf>
    <xf numFmtId="41" fontId="12" fillId="0" borderId="1" xfId="2" applyNumberFormat="1" applyFont="1" applyFill="1" applyBorder="1" applyAlignment="1" applyProtection="1">
      <alignment vertical="center"/>
      <protection locked="0"/>
    </xf>
    <xf numFmtId="0" fontId="11" fillId="13" borderId="1" xfId="1" quotePrefix="1" applyNumberFormat="1" applyFont="1" applyFill="1" applyBorder="1" applyAlignment="1" applyProtection="1">
      <alignment horizontal="left" vertical="center"/>
      <protection locked="0"/>
    </xf>
    <xf numFmtId="0" fontId="14" fillId="13" borderId="3" xfId="0" applyFont="1" applyFill="1" applyBorder="1" applyAlignment="1" applyProtection="1">
      <alignment horizontal="left" vertical="center"/>
      <protection locked="0"/>
    </xf>
    <xf numFmtId="1" fontId="11" fillId="13" borderId="1" xfId="1" quotePrefix="1" applyNumberFormat="1" applyFont="1" applyFill="1" applyBorder="1" applyAlignment="1" applyProtection="1">
      <alignment horizontal="left" vertical="center" wrapText="1"/>
      <protection locked="0"/>
    </xf>
    <xf numFmtId="1" fontId="11" fillId="13" borderId="1" xfId="1" applyNumberFormat="1" applyFont="1" applyFill="1" applyBorder="1" applyAlignment="1" applyProtection="1">
      <alignment horizontal="left" vertical="center" wrapText="1"/>
      <protection locked="0"/>
    </xf>
    <xf numFmtId="1" fontId="11" fillId="13" borderId="1" xfId="1" quotePrefix="1" applyNumberFormat="1" applyFont="1" applyFill="1" applyBorder="1" applyAlignment="1" applyProtection="1">
      <alignment horizontal="center" vertical="center" wrapText="1"/>
      <protection locked="0"/>
    </xf>
    <xf numFmtId="1" fontId="11" fillId="13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13" borderId="1" xfId="0" applyFill="1" applyBorder="1" applyAlignment="1" applyProtection="1">
      <alignment horizontal="left" vertical="center"/>
      <protection locked="0"/>
    </xf>
    <xf numFmtId="43" fontId="0" fillId="0" borderId="0" xfId="0" applyNumberFormat="1"/>
    <xf numFmtId="173" fontId="11" fillId="13" borderId="13" xfId="1" quotePrefix="1" applyNumberFormat="1" applyFont="1" applyFill="1" applyBorder="1" applyAlignment="1" applyProtection="1">
      <alignment horizontal="left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41" fontId="8" fillId="0" borderId="1" xfId="2" applyNumberFormat="1" applyFont="1" applyFill="1" applyBorder="1" applyAlignment="1" applyProtection="1">
      <alignment vertical="center"/>
      <protection locked="0"/>
    </xf>
    <xf numFmtId="174" fontId="35" fillId="7" borderId="15" xfId="1" applyNumberFormat="1" applyFont="1" applyFill="1" applyBorder="1" applyAlignment="1">
      <alignment vertical="center"/>
    </xf>
    <xf numFmtId="0" fontId="20" fillId="18" borderId="3" xfId="0" applyFont="1" applyFill="1" applyBorder="1" applyAlignment="1" applyProtection="1">
      <alignment horizontal="left" vertical="center"/>
      <protection locked="0"/>
    </xf>
    <xf numFmtId="166" fontId="9" fillId="3" borderId="0" xfId="440" applyFont="1" applyFill="1" applyAlignment="1">
      <alignment horizontal="center" vertical="center"/>
    </xf>
    <xf numFmtId="166" fontId="9" fillId="8" borderId="0" xfId="440" applyFont="1" applyFill="1" applyAlignment="1">
      <alignment horizontal="center" vertical="center"/>
    </xf>
    <xf numFmtId="166" fontId="9" fillId="9" borderId="0" xfId="440" applyFont="1" applyFill="1" applyAlignment="1">
      <alignment horizontal="center" vertical="center"/>
    </xf>
    <xf numFmtId="166" fontId="9" fillId="7" borderId="0" xfId="440" applyFont="1" applyFill="1" applyAlignment="1">
      <alignment horizontal="center" vertical="center"/>
    </xf>
    <xf numFmtId="166" fontId="9" fillId="4" borderId="0" xfId="440" applyFont="1" applyFill="1" applyAlignment="1">
      <alignment horizontal="center" vertical="center"/>
    </xf>
    <xf numFmtId="0" fontId="9" fillId="7" borderId="61" xfId="0" applyFont="1" applyFill="1" applyBorder="1" applyAlignment="1">
      <alignment horizontal="center"/>
    </xf>
    <xf numFmtId="0" fontId="9" fillId="7" borderId="42" xfId="0" applyFont="1" applyFill="1" applyBorder="1" applyAlignment="1">
      <alignment horizontal="center"/>
    </xf>
    <xf numFmtId="0" fontId="9" fillId="7" borderId="45" xfId="0" applyFont="1" applyFill="1" applyBorder="1" applyAlignment="1">
      <alignment horizontal="center"/>
    </xf>
    <xf numFmtId="0" fontId="9" fillId="11" borderId="38" xfId="0" applyFont="1" applyFill="1" applyBorder="1" applyAlignment="1" applyProtection="1">
      <alignment horizontal="center" vertical="center" wrapText="1"/>
      <protection locked="0"/>
    </xf>
    <xf numFmtId="0" fontId="9" fillId="11" borderId="39" xfId="0" applyFont="1" applyFill="1" applyBorder="1" applyAlignment="1" applyProtection="1">
      <alignment horizontal="center" vertical="center" wrapText="1"/>
      <protection locked="0"/>
    </xf>
    <xf numFmtId="0" fontId="9" fillId="11" borderId="36" xfId="0" applyFont="1" applyFill="1" applyBorder="1" applyAlignment="1" applyProtection="1">
      <alignment horizontal="center" vertical="center" wrapText="1"/>
      <protection locked="0"/>
    </xf>
    <xf numFmtId="41" fontId="9" fillId="11" borderId="18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23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3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4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2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7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6" xfId="2" applyNumberFormat="1" applyFont="1" applyFill="1" applyBorder="1" applyAlignment="1" applyProtection="1">
      <alignment horizontal="center" vertical="center" wrapText="1"/>
      <protection locked="0"/>
    </xf>
    <xf numFmtId="41" fontId="9" fillId="11" borderId="39" xfId="2" applyNumberFormat="1" applyFont="1" applyFill="1" applyBorder="1" applyAlignment="1" applyProtection="1">
      <alignment horizontal="center" vertical="center" wrapText="1"/>
      <protection locked="0"/>
    </xf>
    <xf numFmtId="41" fontId="33" fillId="11" borderId="18" xfId="2" applyNumberFormat="1" applyFont="1" applyFill="1" applyBorder="1" applyAlignment="1" applyProtection="1">
      <alignment horizontal="center" vertical="center" wrapText="1"/>
      <protection locked="0"/>
    </xf>
    <xf numFmtId="41" fontId="33" fillId="11" borderId="19" xfId="2" applyNumberFormat="1" applyFont="1" applyFill="1" applyBorder="1" applyAlignment="1" applyProtection="1">
      <alignment horizontal="center" vertical="center" wrapText="1"/>
      <protection locked="0"/>
    </xf>
    <xf numFmtId="41" fontId="33" fillId="11" borderId="55" xfId="2" applyNumberFormat="1" applyFont="1" applyFill="1" applyBorder="1" applyAlignment="1" applyProtection="1">
      <alignment horizontal="center" vertical="center" wrapText="1"/>
      <protection locked="0"/>
    </xf>
    <xf numFmtId="166" fontId="9" fillId="11" borderId="18" xfId="2" applyFont="1" applyFill="1" applyBorder="1" applyAlignment="1" applyProtection="1">
      <alignment horizontal="center" vertical="center" wrapText="1"/>
      <protection locked="0"/>
    </xf>
    <xf numFmtId="166" fontId="9" fillId="11" borderId="55" xfId="2" applyFont="1" applyFill="1" applyBorder="1" applyAlignment="1" applyProtection="1">
      <alignment horizontal="center" vertical="center" wrapText="1"/>
      <protection locked="0"/>
    </xf>
    <xf numFmtId="166" fontId="9" fillId="11" borderId="37" xfId="2" applyFont="1" applyFill="1" applyBorder="1" applyAlignment="1" applyProtection="1">
      <alignment horizontal="center" vertical="center" wrapText="1"/>
      <protection locked="0"/>
    </xf>
    <xf numFmtId="166" fontId="9" fillId="11" borderId="39" xfId="2" applyFont="1" applyFill="1" applyBorder="1" applyAlignment="1" applyProtection="1">
      <alignment horizontal="center" vertical="center" wrapText="1"/>
      <protection locked="0"/>
    </xf>
    <xf numFmtId="166" fontId="9" fillId="11" borderId="36" xfId="2" applyFont="1" applyFill="1" applyBorder="1" applyAlignment="1" applyProtection="1">
      <alignment horizontal="center" vertical="center" wrapText="1"/>
      <protection locked="0"/>
    </xf>
    <xf numFmtId="166" fontId="9" fillId="11" borderId="48" xfId="2" applyFont="1" applyFill="1" applyBorder="1" applyAlignment="1" applyProtection="1">
      <alignment horizontal="center" vertical="center" wrapText="1"/>
      <protection locked="0"/>
    </xf>
    <xf numFmtId="166" fontId="9" fillId="11" borderId="46" xfId="2" applyFont="1" applyFill="1" applyBorder="1" applyAlignment="1" applyProtection="1">
      <alignment horizontal="center" vertical="center" wrapText="1"/>
      <protection locked="0"/>
    </xf>
    <xf numFmtId="0" fontId="9" fillId="7" borderId="43" xfId="0" applyFont="1" applyFill="1" applyBorder="1" applyAlignment="1">
      <alignment horizontal="center"/>
    </xf>
    <xf numFmtId="0" fontId="9" fillId="11" borderId="13" xfId="0" applyFont="1" applyFill="1" applyBorder="1" applyAlignment="1" applyProtection="1">
      <alignment horizontal="center" vertical="center" wrapText="1"/>
      <protection locked="0"/>
    </xf>
    <xf numFmtId="0" fontId="9" fillId="11" borderId="23" xfId="0" applyFont="1" applyFill="1" applyBorder="1" applyAlignment="1" applyProtection="1">
      <alignment horizontal="center" vertical="center" wrapText="1"/>
      <protection locked="0"/>
    </xf>
    <xf numFmtId="0" fontId="9" fillId="11" borderId="20" xfId="0" applyFont="1" applyFill="1" applyBorder="1" applyAlignment="1" applyProtection="1">
      <alignment horizontal="center" vertical="center" wrapText="1"/>
      <protection locked="0"/>
    </xf>
    <xf numFmtId="0" fontId="9" fillId="11" borderId="24" xfId="0" applyFont="1" applyFill="1" applyBorder="1" applyAlignment="1" applyProtection="1">
      <alignment horizontal="center" vertical="center" wrapText="1"/>
      <protection locked="0"/>
    </xf>
    <xf numFmtId="166" fontId="9" fillId="11" borderId="13" xfId="2" applyFont="1" applyFill="1" applyBorder="1" applyAlignment="1" applyProtection="1">
      <alignment horizontal="center" vertical="center" wrapText="1"/>
      <protection locked="0"/>
    </xf>
    <xf numFmtId="166" fontId="9" fillId="11" borderId="23" xfId="2" applyFont="1" applyFill="1" applyBorder="1" applyAlignment="1" applyProtection="1">
      <alignment horizontal="center" vertical="center" wrapText="1"/>
      <protection locked="0"/>
    </xf>
    <xf numFmtId="0" fontId="9" fillId="11" borderId="11" xfId="0" applyFont="1" applyFill="1" applyBorder="1" applyAlignment="1" applyProtection="1">
      <alignment horizontal="center" vertical="center" wrapText="1"/>
      <protection locked="0"/>
    </xf>
    <xf numFmtId="0" fontId="9" fillId="11" borderId="22" xfId="0" applyFont="1" applyFill="1" applyBorder="1" applyAlignment="1" applyProtection="1">
      <alignment horizontal="center" vertical="center" wrapText="1"/>
      <protection locked="0"/>
    </xf>
    <xf numFmtId="168" fontId="9" fillId="11" borderId="20" xfId="0" applyNumberFormat="1" applyFont="1" applyFill="1" applyBorder="1" applyAlignment="1" applyProtection="1">
      <alignment horizontal="center" vertical="center" wrapText="1"/>
      <protection locked="0"/>
    </xf>
    <xf numFmtId="168" fontId="9" fillId="11" borderId="47" xfId="0" applyNumberFormat="1" applyFont="1" applyFill="1" applyBorder="1" applyAlignment="1" applyProtection="1">
      <alignment horizontal="center" vertical="center" wrapText="1"/>
      <protection locked="0"/>
    </xf>
    <xf numFmtId="168" fontId="9" fillId="11" borderId="24" xfId="0" applyNumberFormat="1" applyFont="1" applyFill="1" applyBorder="1" applyAlignment="1" applyProtection="1">
      <alignment horizontal="center" vertical="center" wrapText="1"/>
      <protection locked="0"/>
    </xf>
    <xf numFmtId="168" fontId="9" fillId="11" borderId="29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13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3" xfId="0" applyNumberFormat="1" applyFont="1" applyFill="1" applyBorder="1" applyAlignment="1" applyProtection="1">
      <alignment horizontal="center" vertical="center" wrapText="1"/>
      <protection locked="0"/>
    </xf>
    <xf numFmtId="166" fontId="9" fillId="11" borderId="30" xfId="2" applyFont="1" applyFill="1" applyBorder="1" applyAlignment="1" applyProtection="1">
      <alignment horizontal="center" vertical="center" wrapText="1"/>
      <protection locked="0"/>
    </xf>
    <xf numFmtId="166" fontId="9" fillId="11" borderId="34" xfId="2" applyFont="1" applyFill="1" applyBorder="1" applyAlignment="1" applyProtection="1">
      <alignment horizontal="center" vertical="center" wrapText="1"/>
      <protection locked="0"/>
    </xf>
    <xf numFmtId="166" fontId="9" fillId="11" borderId="35" xfId="2" applyFont="1" applyFill="1" applyBorder="1" applyAlignment="1" applyProtection="1">
      <alignment horizontal="center" vertical="center" wrapText="1"/>
      <protection locked="0"/>
    </xf>
    <xf numFmtId="0" fontId="9" fillId="11" borderId="5" xfId="0" applyFont="1" applyFill="1" applyBorder="1" applyAlignment="1" applyProtection="1">
      <alignment horizontal="center" vertical="center" wrapText="1"/>
      <protection locked="0"/>
    </xf>
    <xf numFmtId="0" fontId="9" fillId="11" borderId="7" xfId="0" applyFont="1" applyFill="1" applyBorder="1" applyAlignment="1" applyProtection="1">
      <alignment horizontal="center" vertical="center" wrapText="1"/>
      <protection locked="0"/>
    </xf>
    <xf numFmtId="0" fontId="9" fillId="11" borderId="4" xfId="0" applyFont="1" applyFill="1" applyBorder="1" applyAlignment="1" applyProtection="1">
      <alignment horizontal="center" vertical="center" wrapText="1"/>
      <protection locked="0"/>
    </xf>
    <xf numFmtId="0" fontId="9" fillId="11" borderId="6" xfId="0" applyFont="1" applyFill="1" applyBorder="1" applyAlignment="1" applyProtection="1">
      <alignment horizontal="center" vertical="center" wrapText="1"/>
      <protection locked="0"/>
    </xf>
    <xf numFmtId="49" fontId="9" fillId="11" borderId="5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7" xfId="0" applyNumberFormat="1" applyFont="1" applyFill="1" applyBorder="1" applyAlignment="1" applyProtection="1">
      <alignment horizontal="center" vertical="center" wrapText="1"/>
      <protection locked="0"/>
    </xf>
    <xf numFmtId="168" fontId="9" fillId="11" borderId="5" xfId="0" applyNumberFormat="1" applyFont="1" applyFill="1" applyBorder="1" applyAlignment="1" applyProtection="1">
      <alignment horizontal="center" vertical="center" wrapText="1"/>
      <protection locked="0"/>
    </xf>
    <xf numFmtId="168" fontId="9" fillId="11" borderId="7" xfId="0" applyNumberFormat="1" applyFont="1" applyFill="1" applyBorder="1" applyAlignment="1" applyProtection="1">
      <alignment horizontal="center" vertical="center" wrapText="1"/>
      <protection locked="0"/>
    </xf>
    <xf numFmtId="166" fontId="9" fillId="11" borderId="5" xfId="2" applyFont="1" applyFill="1" applyBorder="1" applyAlignment="1" applyProtection="1">
      <alignment horizontal="center" vertical="center" wrapText="1"/>
      <protection locked="0"/>
    </xf>
    <xf numFmtId="166" fontId="9" fillId="11" borderId="7" xfId="2" applyFont="1" applyFill="1" applyBorder="1" applyAlignment="1" applyProtection="1">
      <alignment horizontal="center" vertical="center" wrapText="1"/>
      <protection locked="0"/>
    </xf>
    <xf numFmtId="0" fontId="9" fillId="11" borderId="37" xfId="0" applyFont="1" applyFill="1" applyBorder="1" applyAlignment="1" applyProtection="1">
      <alignment horizontal="center" vertical="center" wrapText="1"/>
      <protection locked="0"/>
    </xf>
    <xf numFmtId="0" fontId="9" fillId="11" borderId="49" xfId="0" applyFont="1" applyFill="1" applyBorder="1" applyAlignment="1" applyProtection="1">
      <alignment horizontal="center" vertical="center" wrapText="1"/>
      <protection locked="0"/>
    </xf>
    <xf numFmtId="0" fontId="14" fillId="5" borderId="64" xfId="0" applyFont="1" applyFill="1" applyBorder="1" applyAlignment="1" applyProtection="1">
      <alignment horizontal="center"/>
      <protection hidden="1"/>
    </xf>
    <xf numFmtId="0" fontId="9" fillId="5" borderId="64" xfId="0" applyFont="1" applyFill="1" applyBorder="1" applyAlignment="1" applyProtection="1">
      <alignment horizontal="center" vertical="center" wrapText="1"/>
      <protection locked="0"/>
    </xf>
    <xf numFmtId="49" fontId="9" fillId="11" borderId="43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44" xfId="0" applyNumberFormat="1" applyFont="1" applyFill="1" applyBorder="1" applyAlignment="1" applyProtection="1">
      <alignment horizontal="center" vertical="center" wrapText="1"/>
      <protection locked="0"/>
    </xf>
    <xf numFmtId="0" fontId="9" fillId="11" borderId="62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9" fillId="11" borderId="19" xfId="0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>
      <alignment horizontal="center" vertical="center" wrapText="1"/>
    </xf>
    <xf numFmtId="49" fontId="9" fillId="11" borderId="19" xfId="0" applyNumberFormat="1" applyFont="1" applyFill="1" applyBorder="1" applyAlignment="1">
      <alignment horizontal="center" vertical="center" wrapText="1"/>
    </xf>
    <xf numFmtId="0" fontId="14" fillId="5" borderId="64" xfId="0" applyFont="1" applyFill="1" applyBorder="1" applyAlignment="1" applyProtection="1">
      <alignment horizontal="center" wrapText="1"/>
      <protection hidden="1"/>
    </xf>
    <xf numFmtId="0" fontId="9" fillId="11" borderId="33" xfId="0" applyFont="1" applyFill="1" applyBorder="1" applyAlignment="1" applyProtection="1">
      <alignment horizontal="center" vertical="center" wrapText="1"/>
      <protection locked="0"/>
    </xf>
    <xf numFmtId="0" fontId="9" fillId="11" borderId="32" xfId="0" applyFont="1" applyFill="1" applyBorder="1" applyAlignment="1" applyProtection="1">
      <alignment horizontal="center" vertical="center" wrapText="1"/>
      <protection locked="0"/>
    </xf>
    <xf numFmtId="0" fontId="9" fillId="11" borderId="34" xfId="0" applyFont="1" applyFill="1" applyBorder="1" applyAlignment="1" applyProtection="1">
      <alignment horizontal="center" vertical="center" wrapText="1"/>
      <protection locked="0"/>
    </xf>
    <xf numFmtId="168" fontId="9" fillId="11" borderId="37" xfId="0" applyNumberFormat="1" applyFont="1" applyFill="1" applyBorder="1" applyAlignment="1">
      <alignment horizontal="center" vertical="center" wrapText="1"/>
    </xf>
    <xf numFmtId="168" fontId="9" fillId="11" borderId="36" xfId="0" applyNumberFormat="1" applyFont="1" applyFill="1" applyBorder="1" applyAlignment="1">
      <alignment horizontal="center" vertical="center" wrapText="1"/>
    </xf>
    <xf numFmtId="168" fontId="9" fillId="11" borderId="49" xfId="0" applyNumberFormat="1" applyFont="1" applyFill="1" applyBorder="1" applyAlignment="1">
      <alignment horizontal="center" vertical="center" wrapText="1"/>
    </xf>
    <xf numFmtId="168" fontId="9" fillId="11" borderId="54" xfId="0" applyNumberFormat="1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6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 applyProtection="1">
      <alignment horizontal="center" vertical="center" wrapText="1"/>
      <protection locked="0"/>
    </xf>
    <xf numFmtId="0" fontId="9" fillId="11" borderId="35" xfId="0" applyFont="1" applyFill="1" applyBorder="1" applyAlignment="1" applyProtection="1">
      <alignment horizontal="center" vertical="center" wrapText="1"/>
      <protection locked="0"/>
    </xf>
    <xf numFmtId="0" fontId="14" fillId="16" borderId="34" xfId="0" applyFont="1" applyFill="1" applyBorder="1" applyAlignment="1" applyProtection="1">
      <alignment horizontal="center" vertical="center" wrapText="1"/>
      <protection hidden="1"/>
    </xf>
    <xf numFmtId="0" fontId="14" fillId="16" borderId="35" xfId="0" applyFont="1" applyFill="1" applyBorder="1" applyAlignment="1" applyProtection="1">
      <alignment horizontal="center" vertical="center" wrapText="1"/>
      <protection hidden="1"/>
    </xf>
    <xf numFmtId="0" fontId="14" fillId="16" borderId="34" xfId="0" applyFont="1" applyFill="1" applyBorder="1" applyAlignment="1" applyProtection="1">
      <alignment horizontal="center" vertical="center"/>
      <protection hidden="1"/>
    </xf>
    <xf numFmtId="0" fontId="14" fillId="16" borderId="35" xfId="0" applyFont="1" applyFill="1" applyBorder="1" applyAlignment="1" applyProtection="1">
      <alignment horizontal="center" vertical="center"/>
      <protection hidden="1"/>
    </xf>
    <xf numFmtId="0" fontId="14" fillId="16" borderId="62" xfId="0" applyFont="1" applyFill="1" applyBorder="1" applyAlignment="1" applyProtection="1">
      <alignment horizontal="center" vertical="center" wrapText="1"/>
      <protection hidden="1"/>
    </xf>
    <xf numFmtId="0" fontId="14" fillId="16" borderId="50" xfId="0" applyFont="1" applyFill="1" applyBorder="1" applyAlignment="1" applyProtection="1">
      <alignment horizontal="center" vertical="center" wrapText="1"/>
      <protection hidden="1"/>
    </xf>
    <xf numFmtId="0" fontId="14" fillId="5" borderId="21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horizontal="center" vertical="center" wrapText="1"/>
      <protection locked="0"/>
    </xf>
    <xf numFmtId="0" fontId="14" fillId="5" borderId="26" xfId="0" applyFont="1" applyFill="1" applyBorder="1" applyAlignment="1" applyProtection="1">
      <alignment horizontal="center" vertical="center" wrapText="1"/>
      <protection locked="0"/>
    </xf>
    <xf numFmtId="0" fontId="14" fillId="5" borderId="24" xfId="0" applyFont="1" applyFill="1" applyBorder="1" applyAlignment="1" applyProtection="1">
      <alignment horizontal="center" vertical="center" wrapText="1"/>
      <protection locked="0"/>
    </xf>
    <xf numFmtId="0" fontId="14" fillId="5" borderId="28" xfId="0" applyFont="1" applyFill="1" applyBorder="1" applyAlignment="1" applyProtection="1">
      <alignment horizontal="center" vertical="center" wrapText="1"/>
      <protection locked="0"/>
    </xf>
    <xf numFmtId="0" fontId="14" fillId="5" borderId="29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20" xfId="0" applyFill="1" applyBorder="1" applyAlignment="1" applyProtection="1">
      <alignment horizontal="center" vertical="center"/>
      <protection locked="0"/>
    </xf>
    <xf numFmtId="0" fontId="0" fillId="5" borderId="65" xfId="0" applyFill="1" applyBorder="1" applyAlignment="1" applyProtection="1">
      <alignment horizontal="center" vertical="center"/>
      <protection locked="0"/>
    </xf>
    <xf numFmtId="0" fontId="0" fillId="5" borderId="47" xfId="0" applyFill="1" applyBorder="1" applyAlignment="1" applyProtection="1">
      <alignment horizontal="center" vertical="center"/>
      <protection locked="0"/>
    </xf>
    <xf numFmtId="0" fontId="0" fillId="5" borderId="21" xfId="0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26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0" fillId="5" borderId="28" xfId="0" applyFill="1" applyBorder="1" applyAlignment="1" applyProtection="1">
      <alignment horizontal="center" vertical="center"/>
      <protection locked="0"/>
    </xf>
    <xf numFmtId="0" fontId="0" fillId="5" borderId="29" xfId="0" applyFill="1" applyBorder="1" applyAlignment="1" applyProtection="1">
      <alignment horizontal="center" vertical="center"/>
      <protection locked="0"/>
    </xf>
    <xf numFmtId="0" fontId="14" fillId="16" borderId="48" xfId="0" applyFont="1" applyFill="1" applyBorder="1" applyAlignment="1" applyProtection="1">
      <alignment horizontal="center" vertical="center"/>
      <protection hidden="1"/>
    </xf>
    <xf numFmtId="0" fontId="14" fillId="16" borderId="46" xfId="0" applyFont="1" applyFill="1" applyBorder="1" applyAlignment="1" applyProtection="1">
      <alignment horizontal="center" vertical="center"/>
      <protection hidden="1"/>
    </xf>
    <xf numFmtId="0" fontId="14" fillId="16" borderId="30" xfId="0" applyFont="1" applyFill="1" applyBorder="1" applyAlignment="1" applyProtection="1">
      <alignment horizontal="center" vertical="center"/>
      <protection hidden="1"/>
    </xf>
    <xf numFmtId="0" fontId="0" fillId="21" borderId="30" xfId="0" applyFill="1" applyBorder="1" applyAlignment="1">
      <alignment horizontal="center" vertical="center"/>
    </xf>
    <xf numFmtId="0" fontId="0" fillId="21" borderId="34" xfId="0" applyFill="1" applyBorder="1" applyAlignment="1">
      <alignment horizontal="center" vertical="center"/>
    </xf>
    <xf numFmtId="0" fontId="0" fillId="21" borderId="35" xfId="0" applyFill="1" applyBorder="1" applyAlignment="1">
      <alignment horizontal="center" vertical="center"/>
    </xf>
  </cellXfs>
  <cellStyles count="443">
    <cellStyle name="=C:\WINNT\SYSTEM32\COMMAND.COM" xfId="5" xr:uid="{00000000-0005-0000-0000-000000000000}"/>
    <cellStyle name="=C:\WINNT\SYSTEM32\COMMAND.COM 2" xfId="6" xr:uid="{00000000-0005-0000-0000-000001000000}"/>
    <cellStyle name="=C:\WINNT\SYSTEM32\COMMAND.COM_MASTER GAJI MANDIRI ( TGL 25 MEI 2011 )" xfId="7" xr:uid="{00000000-0005-0000-0000-000002000000}"/>
    <cellStyle name="Comma" xfId="1" builtinId="3"/>
    <cellStyle name="Comma [0]" xfId="2" builtinId="6"/>
    <cellStyle name="Comma [0] 10" xfId="8" xr:uid="{00000000-0005-0000-0000-000005000000}"/>
    <cellStyle name="Comma [0] 11" xfId="132" xr:uid="{00000000-0005-0000-0000-000006000000}"/>
    <cellStyle name="Comma [0] 12" xfId="129" xr:uid="{00000000-0005-0000-0000-000007000000}"/>
    <cellStyle name="Comma [0] 12 2" xfId="224" xr:uid="{00000000-0005-0000-0000-000008000000}"/>
    <cellStyle name="Comma [0] 12 2 2" xfId="397" xr:uid="{00000000-0005-0000-0000-000009000000}"/>
    <cellStyle name="Comma [0] 12 3" xfId="316" xr:uid="{00000000-0005-0000-0000-00000A000000}"/>
    <cellStyle name="Comma [0] 13" xfId="183" xr:uid="{00000000-0005-0000-0000-00000B000000}"/>
    <cellStyle name="Comma [0] 14" xfId="275" xr:uid="{00000000-0005-0000-0000-00000C000000}"/>
    <cellStyle name="Comma [0] 15" xfId="440" xr:uid="{00000000-0005-0000-0000-00000D000000}"/>
    <cellStyle name="Comma [0] 2" xfId="4" xr:uid="{00000000-0005-0000-0000-00000E000000}"/>
    <cellStyle name="Comma [0] 2 2 2" xfId="9" xr:uid="{00000000-0005-0000-0000-00000F000000}"/>
    <cellStyle name="Comma [0] 2 2 2 2" xfId="265" xr:uid="{00000000-0005-0000-0000-000010000000}"/>
    <cellStyle name="Comma [0] 2 22" xfId="10" xr:uid="{00000000-0005-0000-0000-000011000000}"/>
    <cellStyle name="Comma [0] 2 22 2" xfId="85" xr:uid="{00000000-0005-0000-0000-000012000000}"/>
    <cellStyle name="Comma [0] 2 22 2 2" xfId="101" xr:uid="{00000000-0005-0000-0000-000013000000}"/>
    <cellStyle name="Comma [0] 2 22 2 2 2" xfId="124" xr:uid="{00000000-0005-0000-0000-000014000000}"/>
    <cellStyle name="Comma [0] 2 22 2 2 2 2" xfId="168" xr:uid="{00000000-0005-0000-0000-000015000000}"/>
    <cellStyle name="Comma [0] 2 22 2 2 2 2 2" xfId="260" xr:uid="{00000000-0005-0000-0000-000016000000}"/>
    <cellStyle name="Comma [0] 2 22 2 2 2 2 2 2" xfId="433" xr:uid="{00000000-0005-0000-0000-000017000000}"/>
    <cellStyle name="Comma [0] 2 22 2 2 2 2 3" xfId="352" xr:uid="{00000000-0005-0000-0000-000018000000}"/>
    <cellStyle name="Comma [0] 2 22 2 2 2 3" xfId="219" xr:uid="{00000000-0005-0000-0000-000019000000}"/>
    <cellStyle name="Comma [0] 2 22 2 2 2 3 2" xfId="392" xr:uid="{00000000-0005-0000-0000-00001A000000}"/>
    <cellStyle name="Comma [0] 2 22 2 2 2 4" xfId="311" xr:uid="{00000000-0005-0000-0000-00001B000000}"/>
    <cellStyle name="Comma [0] 2 22 2 2 3" xfId="148" xr:uid="{00000000-0005-0000-0000-00001C000000}"/>
    <cellStyle name="Comma [0] 2 22 2 2 3 2" xfId="240" xr:uid="{00000000-0005-0000-0000-00001D000000}"/>
    <cellStyle name="Comma [0] 2 22 2 2 3 2 2" xfId="413" xr:uid="{00000000-0005-0000-0000-00001E000000}"/>
    <cellStyle name="Comma [0] 2 22 2 2 3 3" xfId="332" xr:uid="{00000000-0005-0000-0000-00001F000000}"/>
    <cellStyle name="Comma [0] 2 22 2 2 4" xfId="199" xr:uid="{00000000-0005-0000-0000-000020000000}"/>
    <cellStyle name="Comma [0] 2 22 2 2 4 2" xfId="372" xr:uid="{00000000-0005-0000-0000-000021000000}"/>
    <cellStyle name="Comma [0] 2 22 2 2 5" xfId="291" xr:uid="{00000000-0005-0000-0000-000022000000}"/>
    <cellStyle name="Comma [0] 2 22 2 3" xfId="114" xr:uid="{00000000-0005-0000-0000-000023000000}"/>
    <cellStyle name="Comma [0] 2 22 2 3 2" xfId="158" xr:uid="{00000000-0005-0000-0000-000024000000}"/>
    <cellStyle name="Comma [0] 2 22 2 3 2 2" xfId="250" xr:uid="{00000000-0005-0000-0000-000025000000}"/>
    <cellStyle name="Comma [0] 2 22 2 3 2 2 2" xfId="423" xr:uid="{00000000-0005-0000-0000-000026000000}"/>
    <cellStyle name="Comma [0] 2 22 2 3 2 3" xfId="342" xr:uid="{00000000-0005-0000-0000-000027000000}"/>
    <cellStyle name="Comma [0] 2 22 2 3 3" xfId="209" xr:uid="{00000000-0005-0000-0000-000028000000}"/>
    <cellStyle name="Comma [0] 2 22 2 3 3 2" xfId="382" xr:uid="{00000000-0005-0000-0000-000029000000}"/>
    <cellStyle name="Comma [0] 2 22 2 3 4" xfId="301" xr:uid="{00000000-0005-0000-0000-00002A000000}"/>
    <cellStyle name="Comma [0] 2 22 2 4" xfId="138" xr:uid="{00000000-0005-0000-0000-00002B000000}"/>
    <cellStyle name="Comma [0] 2 22 2 4 2" xfId="230" xr:uid="{00000000-0005-0000-0000-00002C000000}"/>
    <cellStyle name="Comma [0] 2 22 2 4 2 2" xfId="403" xr:uid="{00000000-0005-0000-0000-00002D000000}"/>
    <cellStyle name="Comma [0] 2 22 2 4 3" xfId="322" xr:uid="{00000000-0005-0000-0000-00002E000000}"/>
    <cellStyle name="Comma [0] 2 22 2 5" xfId="189" xr:uid="{00000000-0005-0000-0000-00002F000000}"/>
    <cellStyle name="Comma [0] 2 22 2 5 2" xfId="362" xr:uid="{00000000-0005-0000-0000-000030000000}"/>
    <cellStyle name="Comma [0] 2 22 2 6" xfId="281" xr:uid="{00000000-0005-0000-0000-000031000000}"/>
    <cellStyle name="Comma [0] 2 22 3" xfId="96" xr:uid="{00000000-0005-0000-0000-000032000000}"/>
    <cellStyle name="Comma [0] 2 22 3 2" xfId="119" xr:uid="{00000000-0005-0000-0000-000033000000}"/>
    <cellStyle name="Comma [0] 2 22 3 2 2" xfId="163" xr:uid="{00000000-0005-0000-0000-000034000000}"/>
    <cellStyle name="Comma [0] 2 22 3 2 2 2" xfId="255" xr:uid="{00000000-0005-0000-0000-000035000000}"/>
    <cellStyle name="Comma [0] 2 22 3 2 2 2 2" xfId="428" xr:uid="{00000000-0005-0000-0000-000036000000}"/>
    <cellStyle name="Comma [0] 2 22 3 2 2 3" xfId="347" xr:uid="{00000000-0005-0000-0000-000037000000}"/>
    <cellStyle name="Comma [0] 2 22 3 2 3" xfId="214" xr:uid="{00000000-0005-0000-0000-000038000000}"/>
    <cellStyle name="Comma [0] 2 22 3 2 3 2" xfId="387" xr:uid="{00000000-0005-0000-0000-000039000000}"/>
    <cellStyle name="Comma [0] 2 22 3 2 4" xfId="306" xr:uid="{00000000-0005-0000-0000-00003A000000}"/>
    <cellStyle name="Comma [0] 2 22 3 3" xfId="143" xr:uid="{00000000-0005-0000-0000-00003B000000}"/>
    <cellStyle name="Comma [0] 2 22 3 3 2" xfId="235" xr:uid="{00000000-0005-0000-0000-00003C000000}"/>
    <cellStyle name="Comma [0] 2 22 3 3 2 2" xfId="408" xr:uid="{00000000-0005-0000-0000-00003D000000}"/>
    <cellStyle name="Comma [0] 2 22 3 3 3" xfId="327" xr:uid="{00000000-0005-0000-0000-00003E000000}"/>
    <cellStyle name="Comma [0] 2 22 3 4" xfId="194" xr:uid="{00000000-0005-0000-0000-00003F000000}"/>
    <cellStyle name="Comma [0] 2 22 3 4 2" xfId="367" xr:uid="{00000000-0005-0000-0000-000040000000}"/>
    <cellStyle name="Comma [0] 2 22 3 5" xfId="286" xr:uid="{00000000-0005-0000-0000-000041000000}"/>
    <cellStyle name="Comma [0] 2 22 4" xfId="109" xr:uid="{00000000-0005-0000-0000-000042000000}"/>
    <cellStyle name="Comma [0] 2 22 4 2" xfId="153" xr:uid="{00000000-0005-0000-0000-000043000000}"/>
    <cellStyle name="Comma [0] 2 22 4 2 2" xfId="245" xr:uid="{00000000-0005-0000-0000-000044000000}"/>
    <cellStyle name="Comma [0] 2 22 4 2 2 2" xfId="418" xr:uid="{00000000-0005-0000-0000-000045000000}"/>
    <cellStyle name="Comma [0] 2 22 4 2 3" xfId="337" xr:uid="{00000000-0005-0000-0000-000046000000}"/>
    <cellStyle name="Comma [0] 2 22 4 3" xfId="204" xr:uid="{00000000-0005-0000-0000-000047000000}"/>
    <cellStyle name="Comma [0] 2 22 4 3 2" xfId="377" xr:uid="{00000000-0005-0000-0000-000048000000}"/>
    <cellStyle name="Comma [0] 2 22 4 4" xfId="296" xr:uid="{00000000-0005-0000-0000-000049000000}"/>
    <cellStyle name="Comma [0] 2 22 5" xfId="133" xr:uid="{00000000-0005-0000-0000-00004A000000}"/>
    <cellStyle name="Comma [0] 2 22 5 2" xfId="225" xr:uid="{00000000-0005-0000-0000-00004B000000}"/>
    <cellStyle name="Comma [0] 2 22 5 2 2" xfId="398" xr:uid="{00000000-0005-0000-0000-00004C000000}"/>
    <cellStyle name="Comma [0] 2 22 5 3" xfId="317" xr:uid="{00000000-0005-0000-0000-00004D000000}"/>
    <cellStyle name="Comma [0] 2 22 6" xfId="266" xr:uid="{00000000-0005-0000-0000-00004E000000}"/>
    <cellStyle name="Comma [0] 2 22 6 2" xfId="437" xr:uid="{00000000-0005-0000-0000-00004F000000}"/>
    <cellStyle name="Comma [0] 2 22 7" xfId="184" xr:uid="{00000000-0005-0000-0000-000050000000}"/>
    <cellStyle name="Comma [0] 2 22 7 2" xfId="357" xr:uid="{00000000-0005-0000-0000-000051000000}"/>
    <cellStyle name="Comma [0] 2 22 8" xfId="276" xr:uid="{00000000-0005-0000-0000-000052000000}"/>
    <cellStyle name="Comma [0] 3" xfId="11" xr:uid="{00000000-0005-0000-0000-000053000000}"/>
    <cellStyle name="Comma [0] 4" xfId="12" xr:uid="{00000000-0005-0000-0000-000054000000}"/>
    <cellStyle name="Comma [0] 5" xfId="13" xr:uid="{00000000-0005-0000-0000-000055000000}"/>
    <cellStyle name="Comma [0] 6" xfId="84" xr:uid="{00000000-0005-0000-0000-000056000000}"/>
    <cellStyle name="Comma [0] 7" xfId="89" xr:uid="{00000000-0005-0000-0000-000057000000}"/>
    <cellStyle name="Comma [0] 8" xfId="95" xr:uid="{00000000-0005-0000-0000-000058000000}"/>
    <cellStyle name="Comma [0] 9" xfId="108" xr:uid="{00000000-0005-0000-0000-000059000000}"/>
    <cellStyle name="Comma 10" xfId="14" xr:uid="{00000000-0005-0000-0000-00005A000000}"/>
    <cellStyle name="Comma 10 2" xfId="15" xr:uid="{00000000-0005-0000-0000-00005B000000}"/>
    <cellStyle name="Comma 11" xfId="16" xr:uid="{00000000-0005-0000-0000-00005C000000}"/>
    <cellStyle name="Comma 12" xfId="17" xr:uid="{00000000-0005-0000-0000-00005D000000}"/>
    <cellStyle name="Comma 13" xfId="83" xr:uid="{00000000-0005-0000-0000-00005E000000}"/>
    <cellStyle name="Comma 14" xfId="18" xr:uid="{00000000-0005-0000-0000-00005F000000}"/>
    <cellStyle name="Comma 15" xfId="88" xr:uid="{00000000-0005-0000-0000-000060000000}"/>
    <cellStyle name="Comma 16" xfId="94" xr:uid="{00000000-0005-0000-0000-000061000000}"/>
    <cellStyle name="Comma 17" xfId="107" xr:uid="{00000000-0005-0000-0000-000062000000}"/>
    <cellStyle name="Comma 18" xfId="131" xr:uid="{00000000-0005-0000-0000-000063000000}"/>
    <cellStyle name="Comma 19" xfId="172" xr:uid="{00000000-0005-0000-0000-000064000000}"/>
    <cellStyle name="Comma 2" xfId="3" xr:uid="{00000000-0005-0000-0000-000065000000}"/>
    <cellStyle name="Comma 2 10" xfId="19" xr:uid="{00000000-0005-0000-0000-000066000000}"/>
    <cellStyle name="Comma 2 10 2" xfId="20" xr:uid="{00000000-0005-0000-0000-000067000000}"/>
    <cellStyle name="Comma 2 2" xfId="21" xr:uid="{00000000-0005-0000-0000-000068000000}"/>
    <cellStyle name="Comma 2 6" xfId="22" xr:uid="{00000000-0005-0000-0000-000069000000}"/>
    <cellStyle name="Comma 2 6 2" xfId="267" xr:uid="{00000000-0005-0000-0000-00006A000000}"/>
    <cellStyle name="Comma 20" xfId="177" xr:uid="{00000000-0005-0000-0000-00006B000000}"/>
    <cellStyle name="Comma 21" xfId="179" xr:uid="{00000000-0005-0000-0000-00006C000000}"/>
    <cellStyle name="Comma 22" xfId="173" xr:uid="{00000000-0005-0000-0000-00006D000000}"/>
    <cellStyle name="Comma 23" xfId="176" xr:uid="{00000000-0005-0000-0000-00006E000000}"/>
    <cellStyle name="Comma 24" xfId="174" xr:uid="{00000000-0005-0000-0000-00006F000000}"/>
    <cellStyle name="Comma 25" xfId="178" xr:uid="{00000000-0005-0000-0000-000070000000}"/>
    <cellStyle name="Comma 26" xfId="175" xr:uid="{00000000-0005-0000-0000-000071000000}"/>
    <cellStyle name="Comma 27" xfId="182" xr:uid="{00000000-0005-0000-0000-000072000000}"/>
    <cellStyle name="Comma 28" xfId="264" xr:uid="{00000000-0005-0000-0000-000073000000}"/>
    <cellStyle name="Comma 29" xfId="274" xr:uid="{00000000-0005-0000-0000-000074000000}"/>
    <cellStyle name="Comma 3" xfId="23" xr:uid="{00000000-0005-0000-0000-000075000000}"/>
    <cellStyle name="Comma 3 2 2" xfId="24" xr:uid="{00000000-0005-0000-0000-000076000000}"/>
    <cellStyle name="Comma 4" xfId="25" xr:uid="{00000000-0005-0000-0000-000077000000}"/>
    <cellStyle name="Comma 4 2" xfId="26" xr:uid="{00000000-0005-0000-0000-000078000000}"/>
    <cellStyle name="Comma 46" xfId="27" xr:uid="{00000000-0005-0000-0000-000079000000}"/>
    <cellStyle name="Comma 46 2" xfId="86" xr:uid="{00000000-0005-0000-0000-00007A000000}"/>
    <cellStyle name="Comma 46 2 2" xfId="102" xr:uid="{00000000-0005-0000-0000-00007B000000}"/>
    <cellStyle name="Comma 46 2 2 2" xfId="125" xr:uid="{00000000-0005-0000-0000-00007C000000}"/>
    <cellStyle name="Comma 46 2 2 2 2" xfId="169" xr:uid="{00000000-0005-0000-0000-00007D000000}"/>
    <cellStyle name="Comma 46 2 2 2 2 2" xfId="261" xr:uid="{00000000-0005-0000-0000-00007E000000}"/>
    <cellStyle name="Comma 46 2 2 2 2 2 2" xfId="434" xr:uid="{00000000-0005-0000-0000-00007F000000}"/>
    <cellStyle name="Comma 46 2 2 2 2 3" xfId="353" xr:uid="{00000000-0005-0000-0000-000080000000}"/>
    <cellStyle name="Comma 46 2 2 2 3" xfId="220" xr:uid="{00000000-0005-0000-0000-000081000000}"/>
    <cellStyle name="Comma 46 2 2 2 3 2" xfId="393" xr:uid="{00000000-0005-0000-0000-000082000000}"/>
    <cellStyle name="Comma 46 2 2 2 4" xfId="312" xr:uid="{00000000-0005-0000-0000-000083000000}"/>
    <cellStyle name="Comma 46 2 2 3" xfId="149" xr:uid="{00000000-0005-0000-0000-000084000000}"/>
    <cellStyle name="Comma 46 2 2 3 2" xfId="241" xr:uid="{00000000-0005-0000-0000-000085000000}"/>
    <cellStyle name="Comma 46 2 2 3 2 2" xfId="414" xr:uid="{00000000-0005-0000-0000-000086000000}"/>
    <cellStyle name="Comma 46 2 2 3 3" xfId="333" xr:uid="{00000000-0005-0000-0000-000087000000}"/>
    <cellStyle name="Comma 46 2 2 4" xfId="200" xr:uid="{00000000-0005-0000-0000-000088000000}"/>
    <cellStyle name="Comma 46 2 2 4 2" xfId="373" xr:uid="{00000000-0005-0000-0000-000089000000}"/>
    <cellStyle name="Comma 46 2 2 5" xfId="292" xr:uid="{00000000-0005-0000-0000-00008A000000}"/>
    <cellStyle name="Comma 46 2 3" xfId="115" xr:uid="{00000000-0005-0000-0000-00008B000000}"/>
    <cellStyle name="Comma 46 2 3 2" xfId="159" xr:uid="{00000000-0005-0000-0000-00008C000000}"/>
    <cellStyle name="Comma 46 2 3 2 2" xfId="251" xr:uid="{00000000-0005-0000-0000-00008D000000}"/>
    <cellStyle name="Comma 46 2 3 2 2 2" xfId="424" xr:uid="{00000000-0005-0000-0000-00008E000000}"/>
    <cellStyle name="Comma 46 2 3 2 3" xfId="343" xr:uid="{00000000-0005-0000-0000-00008F000000}"/>
    <cellStyle name="Comma 46 2 3 3" xfId="210" xr:uid="{00000000-0005-0000-0000-000090000000}"/>
    <cellStyle name="Comma 46 2 3 3 2" xfId="383" xr:uid="{00000000-0005-0000-0000-000091000000}"/>
    <cellStyle name="Comma 46 2 3 4" xfId="302" xr:uid="{00000000-0005-0000-0000-000092000000}"/>
    <cellStyle name="Comma 46 2 4" xfId="139" xr:uid="{00000000-0005-0000-0000-000093000000}"/>
    <cellStyle name="Comma 46 2 4 2" xfId="231" xr:uid="{00000000-0005-0000-0000-000094000000}"/>
    <cellStyle name="Comma 46 2 4 2 2" xfId="404" xr:uid="{00000000-0005-0000-0000-000095000000}"/>
    <cellStyle name="Comma 46 2 4 3" xfId="323" xr:uid="{00000000-0005-0000-0000-000096000000}"/>
    <cellStyle name="Comma 46 2 5" xfId="190" xr:uid="{00000000-0005-0000-0000-000097000000}"/>
    <cellStyle name="Comma 46 2 5 2" xfId="363" xr:uid="{00000000-0005-0000-0000-000098000000}"/>
    <cellStyle name="Comma 46 2 6" xfId="282" xr:uid="{00000000-0005-0000-0000-000099000000}"/>
    <cellStyle name="Comma 46 3" xfId="97" xr:uid="{00000000-0005-0000-0000-00009A000000}"/>
    <cellStyle name="Comma 46 3 2" xfId="120" xr:uid="{00000000-0005-0000-0000-00009B000000}"/>
    <cellStyle name="Comma 46 3 2 2" xfId="164" xr:uid="{00000000-0005-0000-0000-00009C000000}"/>
    <cellStyle name="Comma 46 3 2 2 2" xfId="256" xr:uid="{00000000-0005-0000-0000-00009D000000}"/>
    <cellStyle name="Comma 46 3 2 2 2 2" xfId="429" xr:uid="{00000000-0005-0000-0000-00009E000000}"/>
    <cellStyle name="Comma 46 3 2 2 3" xfId="348" xr:uid="{00000000-0005-0000-0000-00009F000000}"/>
    <cellStyle name="Comma 46 3 2 3" xfId="215" xr:uid="{00000000-0005-0000-0000-0000A0000000}"/>
    <cellStyle name="Comma 46 3 2 3 2" xfId="388" xr:uid="{00000000-0005-0000-0000-0000A1000000}"/>
    <cellStyle name="Comma 46 3 2 4" xfId="307" xr:uid="{00000000-0005-0000-0000-0000A2000000}"/>
    <cellStyle name="Comma 46 3 3" xfId="144" xr:uid="{00000000-0005-0000-0000-0000A3000000}"/>
    <cellStyle name="Comma 46 3 3 2" xfId="236" xr:uid="{00000000-0005-0000-0000-0000A4000000}"/>
    <cellStyle name="Comma 46 3 3 2 2" xfId="409" xr:uid="{00000000-0005-0000-0000-0000A5000000}"/>
    <cellStyle name="Comma 46 3 3 3" xfId="328" xr:uid="{00000000-0005-0000-0000-0000A6000000}"/>
    <cellStyle name="Comma 46 3 4" xfId="195" xr:uid="{00000000-0005-0000-0000-0000A7000000}"/>
    <cellStyle name="Comma 46 3 4 2" xfId="368" xr:uid="{00000000-0005-0000-0000-0000A8000000}"/>
    <cellStyle name="Comma 46 3 5" xfId="287" xr:uid="{00000000-0005-0000-0000-0000A9000000}"/>
    <cellStyle name="Comma 46 4" xfId="110" xr:uid="{00000000-0005-0000-0000-0000AA000000}"/>
    <cellStyle name="Comma 46 4 2" xfId="154" xr:uid="{00000000-0005-0000-0000-0000AB000000}"/>
    <cellStyle name="Comma 46 4 2 2" xfId="246" xr:uid="{00000000-0005-0000-0000-0000AC000000}"/>
    <cellStyle name="Comma 46 4 2 2 2" xfId="419" xr:uid="{00000000-0005-0000-0000-0000AD000000}"/>
    <cellStyle name="Comma 46 4 2 3" xfId="338" xr:uid="{00000000-0005-0000-0000-0000AE000000}"/>
    <cellStyle name="Comma 46 4 3" xfId="205" xr:uid="{00000000-0005-0000-0000-0000AF000000}"/>
    <cellStyle name="Comma 46 4 3 2" xfId="378" xr:uid="{00000000-0005-0000-0000-0000B0000000}"/>
    <cellStyle name="Comma 46 4 4" xfId="297" xr:uid="{00000000-0005-0000-0000-0000B1000000}"/>
    <cellStyle name="Comma 46 5" xfId="134" xr:uid="{00000000-0005-0000-0000-0000B2000000}"/>
    <cellStyle name="Comma 46 5 2" xfId="226" xr:uid="{00000000-0005-0000-0000-0000B3000000}"/>
    <cellStyle name="Comma 46 5 2 2" xfId="399" xr:uid="{00000000-0005-0000-0000-0000B4000000}"/>
    <cellStyle name="Comma 46 5 3" xfId="318" xr:uid="{00000000-0005-0000-0000-0000B5000000}"/>
    <cellStyle name="Comma 46 6" xfId="268" xr:uid="{00000000-0005-0000-0000-0000B6000000}"/>
    <cellStyle name="Comma 46 6 2" xfId="438" xr:uid="{00000000-0005-0000-0000-0000B7000000}"/>
    <cellStyle name="Comma 46 7" xfId="185" xr:uid="{00000000-0005-0000-0000-0000B8000000}"/>
    <cellStyle name="Comma 46 7 2" xfId="358" xr:uid="{00000000-0005-0000-0000-0000B9000000}"/>
    <cellStyle name="Comma 46 8" xfId="277" xr:uid="{00000000-0005-0000-0000-0000BA000000}"/>
    <cellStyle name="Comma 47" xfId="269" xr:uid="{00000000-0005-0000-0000-0000BB000000}"/>
    <cellStyle name="Comma 5" xfId="28" xr:uid="{00000000-0005-0000-0000-0000BC000000}"/>
    <cellStyle name="Comma 6" xfId="29" xr:uid="{00000000-0005-0000-0000-0000BD000000}"/>
    <cellStyle name="Comma 7" xfId="30" xr:uid="{00000000-0005-0000-0000-0000BE000000}"/>
    <cellStyle name="Comma 8" xfId="31" xr:uid="{00000000-0005-0000-0000-0000BF000000}"/>
    <cellStyle name="Comma 8 3" xfId="32" xr:uid="{00000000-0005-0000-0000-0000C0000000}"/>
    <cellStyle name="Comma 9" xfId="33" xr:uid="{00000000-0005-0000-0000-0000C1000000}"/>
    <cellStyle name="Comma 9 2" xfId="34" xr:uid="{00000000-0005-0000-0000-0000C2000000}"/>
    <cellStyle name="Normal" xfId="0" builtinId="0"/>
    <cellStyle name="Normal 10" xfId="35" xr:uid="{00000000-0005-0000-0000-0000C4000000}"/>
    <cellStyle name="Normal 10 2" xfId="36" xr:uid="{00000000-0005-0000-0000-0000C5000000}"/>
    <cellStyle name="Normal 11" xfId="37" xr:uid="{00000000-0005-0000-0000-0000C6000000}"/>
    <cellStyle name="Normal 11 2" xfId="38" xr:uid="{00000000-0005-0000-0000-0000C7000000}"/>
    <cellStyle name="Normal 12" xfId="82" xr:uid="{00000000-0005-0000-0000-0000C8000000}"/>
    <cellStyle name="Normal 13" xfId="39" xr:uid="{00000000-0005-0000-0000-0000C9000000}"/>
    <cellStyle name="Normal 14" xfId="81" xr:uid="{00000000-0005-0000-0000-0000CA000000}"/>
    <cellStyle name="Normal 14 2" xfId="100" xr:uid="{00000000-0005-0000-0000-0000CB000000}"/>
    <cellStyle name="Normal 14 2 2" xfId="123" xr:uid="{00000000-0005-0000-0000-0000CC000000}"/>
    <cellStyle name="Normal 14 2 2 2" xfId="167" xr:uid="{00000000-0005-0000-0000-0000CD000000}"/>
    <cellStyle name="Normal 14 2 2 2 2" xfId="259" xr:uid="{00000000-0005-0000-0000-0000CE000000}"/>
    <cellStyle name="Normal 14 2 2 2 2 2" xfId="432" xr:uid="{00000000-0005-0000-0000-0000CF000000}"/>
    <cellStyle name="Normal 14 2 2 2 3" xfId="351" xr:uid="{00000000-0005-0000-0000-0000D0000000}"/>
    <cellStyle name="Normal 14 2 2 3" xfId="218" xr:uid="{00000000-0005-0000-0000-0000D1000000}"/>
    <cellStyle name="Normal 14 2 2 3 2" xfId="391" xr:uid="{00000000-0005-0000-0000-0000D2000000}"/>
    <cellStyle name="Normal 14 2 2 4" xfId="310" xr:uid="{00000000-0005-0000-0000-0000D3000000}"/>
    <cellStyle name="Normal 14 2 3" xfId="147" xr:uid="{00000000-0005-0000-0000-0000D4000000}"/>
    <cellStyle name="Normal 14 2 3 2" xfId="239" xr:uid="{00000000-0005-0000-0000-0000D5000000}"/>
    <cellStyle name="Normal 14 2 3 2 2" xfId="412" xr:uid="{00000000-0005-0000-0000-0000D6000000}"/>
    <cellStyle name="Normal 14 2 3 3" xfId="331" xr:uid="{00000000-0005-0000-0000-0000D7000000}"/>
    <cellStyle name="Normal 14 2 4" xfId="198" xr:uid="{00000000-0005-0000-0000-0000D8000000}"/>
    <cellStyle name="Normal 14 2 4 2" xfId="371" xr:uid="{00000000-0005-0000-0000-0000D9000000}"/>
    <cellStyle name="Normal 14 2 5" xfId="290" xr:uid="{00000000-0005-0000-0000-0000DA000000}"/>
    <cellStyle name="Normal 14 3" xfId="113" xr:uid="{00000000-0005-0000-0000-0000DB000000}"/>
    <cellStyle name="Normal 14 3 2" xfId="157" xr:uid="{00000000-0005-0000-0000-0000DC000000}"/>
    <cellStyle name="Normal 14 3 2 2" xfId="249" xr:uid="{00000000-0005-0000-0000-0000DD000000}"/>
    <cellStyle name="Normal 14 3 2 2 2" xfId="422" xr:uid="{00000000-0005-0000-0000-0000DE000000}"/>
    <cellStyle name="Normal 14 3 2 3" xfId="341" xr:uid="{00000000-0005-0000-0000-0000DF000000}"/>
    <cellStyle name="Normal 14 3 3" xfId="208" xr:uid="{00000000-0005-0000-0000-0000E0000000}"/>
    <cellStyle name="Normal 14 3 3 2" xfId="381" xr:uid="{00000000-0005-0000-0000-0000E1000000}"/>
    <cellStyle name="Normal 14 3 4" xfId="300" xr:uid="{00000000-0005-0000-0000-0000E2000000}"/>
    <cellStyle name="Normal 14 4" xfId="137" xr:uid="{00000000-0005-0000-0000-0000E3000000}"/>
    <cellStyle name="Normal 14 4 2" xfId="229" xr:uid="{00000000-0005-0000-0000-0000E4000000}"/>
    <cellStyle name="Normal 14 4 2 2" xfId="402" xr:uid="{00000000-0005-0000-0000-0000E5000000}"/>
    <cellStyle name="Normal 14 4 3" xfId="321" xr:uid="{00000000-0005-0000-0000-0000E6000000}"/>
    <cellStyle name="Normal 14 5" xfId="188" xr:uid="{00000000-0005-0000-0000-0000E7000000}"/>
    <cellStyle name="Normal 14 5 2" xfId="361" xr:uid="{00000000-0005-0000-0000-0000E8000000}"/>
    <cellStyle name="Normal 14 6" xfId="280" xr:uid="{00000000-0005-0000-0000-0000E9000000}"/>
    <cellStyle name="Normal 140" xfId="40" xr:uid="{00000000-0005-0000-0000-0000EA000000}"/>
    <cellStyle name="Normal 140 2" xfId="90" xr:uid="{00000000-0005-0000-0000-0000EB000000}"/>
    <cellStyle name="Normal 140 2 2" xfId="103" xr:uid="{00000000-0005-0000-0000-0000EC000000}"/>
    <cellStyle name="Normal 140 2 2 2" xfId="126" xr:uid="{00000000-0005-0000-0000-0000ED000000}"/>
    <cellStyle name="Normal 140 2 2 2 2" xfId="170" xr:uid="{00000000-0005-0000-0000-0000EE000000}"/>
    <cellStyle name="Normal 140 2 2 2 2 2" xfId="262" xr:uid="{00000000-0005-0000-0000-0000EF000000}"/>
    <cellStyle name="Normal 140 2 2 2 2 2 2" xfId="435" xr:uid="{00000000-0005-0000-0000-0000F0000000}"/>
    <cellStyle name="Normal 140 2 2 2 2 3" xfId="354" xr:uid="{00000000-0005-0000-0000-0000F1000000}"/>
    <cellStyle name="Normal 140 2 2 2 3" xfId="221" xr:uid="{00000000-0005-0000-0000-0000F2000000}"/>
    <cellStyle name="Normal 140 2 2 2 3 2" xfId="394" xr:uid="{00000000-0005-0000-0000-0000F3000000}"/>
    <cellStyle name="Normal 140 2 2 2 4" xfId="313" xr:uid="{00000000-0005-0000-0000-0000F4000000}"/>
    <cellStyle name="Normal 140 2 2 3" xfId="150" xr:uid="{00000000-0005-0000-0000-0000F5000000}"/>
    <cellStyle name="Normal 140 2 2 3 2" xfId="242" xr:uid="{00000000-0005-0000-0000-0000F6000000}"/>
    <cellStyle name="Normal 140 2 2 3 2 2" xfId="415" xr:uid="{00000000-0005-0000-0000-0000F7000000}"/>
    <cellStyle name="Normal 140 2 2 3 3" xfId="334" xr:uid="{00000000-0005-0000-0000-0000F8000000}"/>
    <cellStyle name="Normal 140 2 2 4" xfId="201" xr:uid="{00000000-0005-0000-0000-0000F9000000}"/>
    <cellStyle name="Normal 140 2 2 4 2" xfId="374" xr:uid="{00000000-0005-0000-0000-0000FA000000}"/>
    <cellStyle name="Normal 140 2 2 5" xfId="293" xr:uid="{00000000-0005-0000-0000-0000FB000000}"/>
    <cellStyle name="Normal 140 2 3" xfId="116" xr:uid="{00000000-0005-0000-0000-0000FC000000}"/>
    <cellStyle name="Normal 140 2 3 2" xfId="160" xr:uid="{00000000-0005-0000-0000-0000FD000000}"/>
    <cellStyle name="Normal 140 2 3 2 2" xfId="252" xr:uid="{00000000-0005-0000-0000-0000FE000000}"/>
    <cellStyle name="Normal 140 2 3 2 2 2" xfId="425" xr:uid="{00000000-0005-0000-0000-0000FF000000}"/>
    <cellStyle name="Normal 140 2 3 2 3" xfId="344" xr:uid="{00000000-0005-0000-0000-000000010000}"/>
    <cellStyle name="Normal 140 2 3 3" xfId="211" xr:uid="{00000000-0005-0000-0000-000001010000}"/>
    <cellStyle name="Normal 140 2 3 3 2" xfId="384" xr:uid="{00000000-0005-0000-0000-000002010000}"/>
    <cellStyle name="Normal 140 2 3 4" xfId="303" xr:uid="{00000000-0005-0000-0000-000003010000}"/>
    <cellStyle name="Normal 140 2 4" xfId="140" xr:uid="{00000000-0005-0000-0000-000004010000}"/>
    <cellStyle name="Normal 140 2 4 2" xfId="232" xr:uid="{00000000-0005-0000-0000-000005010000}"/>
    <cellStyle name="Normal 140 2 4 2 2" xfId="405" xr:uid="{00000000-0005-0000-0000-000006010000}"/>
    <cellStyle name="Normal 140 2 4 3" xfId="324" xr:uid="{00000000-0005-0000-0000-000007010000}"/>
    <cellStyle name="Normal 140 2 5" xfId="191" xr:uid="{00000000-0005-0000-0000-000008010000}"/>
    <cellStyle name="Normal 140 2 5 2" xfId="364" xr:uid="{00000000-0005-0000-0000-000009010000}"/>
    <cellStyle name="Normal 140 2 6" xfId="283" xr:uid="{00000000-0005-0000-0000-00000A010000}"/>
    <cellStyle name="Normal 140 3" xfId="98" xr:uid="{00000000-0005-0000-0000-00000B010000}"/>
    <cellStyle name="Normal 140 3 2" xfId="121" xr:uid="{00000000-0005-0000-0000-00000C010000}"/>
    <cellStyle name="Normal 140 3 2 2" xfId="165" xr:uid="{00000000-0005-0000-0000-00000D010000}"/>
    <cellStyle name="Normal 140 3 2 2 2" xfId="257" xr:uid="{00000000-0005-0000-0000-00000E010000}"/>
    <cellStyle name="Normal 140 3 2 2 2 2" xfId="430" xr:uid="{00000000-0005-0000-0000-00000F010000}"/>
    <cellStyle name="Normal 140 3 2 2 3" xfId="349" xr:uid="{00000000-0005-0000-0000-000010010000}"/>
    <cellStyle name="Normal 140 3 2 3" xfId="216" xr:uid="{00000000-0005-0000-0000-000011010000}"/>
    <cellStyle name="Normal 140 3 2 3 2" xfId="389" xr:uid="{00000000-0005-0000-0000-000012010000}"/>
    <cellStyle name="Normal 140 3 2 4" xfId="308" xr:uid="{00000000-0005-0000-0000-000013010000}"/>
    <cellStyle name="Normal 140 3 3" xfId="145" xr:uid="{00000000-0005-0000-0000-000014010000}"/>
    <cellStyle name="Normal 140 3 3 2" xfId="237" xr:uid="{00000000-0005-0000-0000-000015010000}"/>
    <cellStyle name="Normal 140 3 3 2 2" xfId="410" xr:uid="{00000000-0005-0000-0000-000016010000}"/>
    <cellStyle name="Normal 140 3 3 3" xfId="329" xr:uid="{00000000-0005-0000-0000-000017010000}"/>
    <cellStyle name="Normal 140 3 4" xfId="196" xr:uid="{00000000-0005-0000-0000-000018010000}"/>
    <cellStyle name="Normal 140 3 4 2" xfId="369" xr:uid="{00000000-0005-0000-0000-000019010000}"/>
    <cellStyle name="Normal 140 3 5" xfId="288" xr:uid="{00000000-0005-0000-0000-00001A010000}"/>
    <cellStyle name="Normal 140 4" xfId="111" xr:uid="{00000000-0005-0000-0000-00001B010000}"/>
    <cellStyle name="Normal 140 4 2" xfId="155" xr:uid="{00000000-0005-0000-0000-00001C010000}"/>
    <cellStyle name="Normal 140 4 2 2" xfId="247" xr:uid="{00000000-0005-0000-0000-00001D010000}"/>
    <cellStyle name="Normal 140 4 2 2 2" xfId="420" xr:uid="{00000000-0005-0000-0000-00001E010000}"/>
    <cellStyle name="Normal 140 4 2 3" xfId="339" xr:uid="{00000000-0005-0000-0000-00001F010000}"/>
    <cellStyle name="Normal 140 4 3" xfId="206" xr:uid="{00000000-0005-0000-0000-000020010000}"/>
    <cellStyle name="Normal 140 4 3 2" xfId="379" xr:uid="{00000000-0005-0000-0000-000021010000}"/>
    <cellStyle name="Normal 140 4 4" xfId="298" xr:uid="{00000000-0005-0000-0000-000022010000}"/>
    <cellStyle name="Normal 140 5" xfId="135" xr:uid="{00000000-0005-0000-0000-000023010000}"/>
    <cellStyle name="Normal 140 5 2" xfId="227" xr:uid="{00000000-0005-0000-0000-000024010000}"/>
    <cellStyle name="Normal 140 5 2 2" xfId="400" xr:uid="{00000000-0005-0000-0000-000025010000}"/>
    <cellStyle name="Normal 140 5 3" xfId="319" xr:uid="{00000000-0005-0000-0000-000026010000}"/>
    <cellStyle name="Normal 140 6" xfId="186" xr:uid="{00000000-0005-0000-0000-000027010000}"/>
    <cellStyle name="Normal 140 6 2" xfId="359" xr:uid="{00000000-0005-0000-0000-000028010000}"/>
    <cellStyle name="Normal 140 7" xfId="278" xr:uid="{00000000-0005-0000-0000-000029010000}"/>
    <cellStyle name="Normal 15" xfId="41" xr:uid="{00000000-0005-0000-0000-00002A010000}"/>
    <cellStyle name="Normal 16" xfId="87" xr:uid="{00000000-0005-0000-0000-00002B010000}"/>
    <cellStyle name="Normal 17" xfId="42" xr:uid="{00000000-0005-0000-0000-00002C010000}"/>
    <cellStyle name="Normal 18" xfId="93" xr:uid="{00000000-0005-0000-0000-00002D010000}"/>
    <cellStyle name="Normal 19" xfId="43" xr:uid="{00000000-0005-0000-0000-00002E010000}"/>
    <cellStyle name="Normal 2" xfId="44" xr:uid="{00000000-0005-0000-0000-00002F010000}"/>
    <cellStyle name="Normal 2 11" xfId="270" xr:uid="{00000000-0005-0000-0000-000030010000}"/>
    <cellStyle name="Normal 2 2" xfId="45" xr:uid="{00000000-0005-0000-0000-000031010000}"/>
    <cellStyle name="Normal 2 25" xfId="46" xr:uid="{00000000-0005-0000-0000-000032010000}"/>
    <cellStyle name="Normal 2 26" xfId="47" xr:uid="{00000000-0005-0000-0000-000033010000}"/>
    <cellStyle name="Normal 2 29" xfId="48" xr:uid="{00000000-0005-0000-0000-000034010000}"/>
    <cellStyle name="Normal 2 3" xfId="49" xr:uid="{00000000-0005-0000-0000-000035010000}"/>
    <cellStyle name="Normal 2 3 2" xfId="91" xr:uid="{00000000-0005-0000-0000-000036010000}"/>
    <cellStyle name="Normal 2 3 2 2" xfId="104" xr:uid="{00000000-0005-0000-0000-000037010000}"/>
    <cellStyle name="Normal 2 3 2 2 2" xfId="127" xr:uid="{00000000-0005-0000-0000-000038010000}"/>
    <cellStyle name="Normal 2 3 2 2 2 2" xfId="171" xr:uid="{00000000-0005-0000-0000-000039010000}"/>
    <cellStyle name="Normal 2 3 2 2 2 2 2" xfId="263" xr:uid="{00000000-0005-0000-0000-00003A010000}"/>
    <cellStyle name="Normal 2 3 2 2 2 2 2 2" xfId="436" xr:uid="{00000000-0005-0000-0000-00003B010000}"/>
    <cellStyle name="Normal 2 3 2 2 2 2 3" xfId="355" xr:uid="{00000000-0005-0000-0000-00003C010000}"/>
    <cellStyle name="Normal 2 3 2 2 2 3" xfId="222" xr:uid="{00000000-0005-0000-0000-00003D010000}"/>
    <cellStyle name="Normal 2 3 2 2 2 3 2" xfId="395" xr:uid="{00000000-0005-0000-0000-00003E010000}"/>
    <cellStyle name="Normal 2 3 2 2 2 4" xfId="314" xr:uid="{00000000-0005-0000-0000-00003F010000}"/>
    <cellStyle name="Normal 2 3 2 2 3" xfId="151" xr:uid="{00000000-0005-0000-0000-000040010000}"/>
    <cellStyle name="Normal 2 3 2 2 3 2" xfId="243" xr:uid="{00000000-0005-0000-0000-000041010000}"/>
    <cellStyle name="Normal 2 3 2 2 3 2 2" xfId="416" xr:uid="{00000000-0005-0000-0000-000042010000}"/>
    <cellStyle name="Normal 2 3 2 2 3 3" xfId="335" xr:uid="{00000000-0005-0000-0000-000043010000}"/>
    <cellStyle name="Normal 2 3 2 2 4" xfId="202" xr:uid="{00000000-0005-0000-0000-000044010000}"/>
    <cellStyle name="Normal 2 3 2 2 4 2" xfId="375" xr:uid="{00000000-0005-0000-0000-000045010000}"/>
    <cellStyle name="Normal 2 3 2 2 5" xfId="294" xr:uid="{00000000-0005-0000-0000-000046010000}"/>
    <cellStyle name="Normal 2 3 2 3" xfId="117" xr:uid="{00000000-0005-0000-0000-000047010000}"/>
    <cellStyle name="Normal 2 3 2 3 2" xfId="161" xr:uid="{00000000-0005-0000-0000-000048010000}"/>
    <cellStyle name="Normal 2 3 2 3 2 2" xfId="253" xr:uid="{00000000-0005-0000-0000-000049010000}"/>
    <cellStyle name="Normal 2 3 2 3 2 2 2" xfId="426" xr:uid="{00000000-0005-0000-0000-00004A010000}"/>
    <cellStyle name="Normal 2 3 2 3 2 3" xfId="345" xr:uid="{00000000-0005-0000-0000-00004B010000}"/>
    <cellStyle name="Normal 2 3 2 3 3" xfId="212" xr:uid="{00000000-0005-0000-0000-00004C010000}"/>
    <cellStyle name="Normal 2 3 2 3 3 2" xfId="385" xr:uid="{00000000-0005-0000-0000-00004D010000}"/>
    <cellStyle name="Normal 2 3 2 3 4" xfId="304" xr:uid="{00000000-0005-0000-0000-00004E010000}"/>
    <cellStyle name="Normal 2 3 2 4" xfId="141" xr:uid="{00000000-0005-0000-0000-00004F010000}"/>
    <cellStyle name="Normal 2 3 2 4 2" xfId="233" xr:uid="{00000000-0005-0000-0000-000050010000}"/>
    <cellStyle name="Normal 2 3 2 4 2 2" xfId="406" xr:uid="{00000000-0005-0000-0000-000051010000}"/>
    <cellStyle name="Normal 2 3 2 4 3" xfId="325" xr:uid="{00000000-0005-0000-0000-000052010000}"/>
    <cellStyle name="Normal 2 3 2 5" xfId="192" xr:uid="{00000000-0005-0000-0000-000053010000}"/>
    <cellStyle name="Normal 2 3 2 5 2" xfId="365" xr:uid="{00000000-0005-0000-0000-000054010000}"/>
    <cellStyle name="Normal 2 3 2 6" xfId="284" xr:uid="{00000000-0005-0000-0000-000055010000}"/>
    <cellStyle name="Normal 2 3 3" xfId="99" xr:uid="{00000000-0005-0000-0000-000056010000}"/>
    <cellStyle name="Normal 2 3 3 2" xfId="122" xr:uid="{00000000-0005-0000-0000-000057010000}"/>
    <cellStyle name="Normal 2 3 3 2 2" xfId="166" xr:uid="{00000000-0005-0000-0000-000058010000}"/>
    <cellStyle name="Normal 2 3 3 2 2 2" xfId="258" xr:uid="{00000000-0005-0000-0000-000059010000}"/>
    <cellStyle name="Normal 2 3 3 2 2 2 2" xfId="431" xr:uid="{00000000-0005-0000-0000-00005A010000}"/>
    <cellStyle name="Normal 2 3 3 2 2 3" xfId="350" xr:uid="{00000000-0005-0000-0000-00005B010000}"/>
    <cellStyle name="Normal 2 3 3 2 3" xfId="217" xr:uid="{00000000-0005-0000-0000-00005C010000}"/>
    <cellStyle name="Normal 2 3 3 2 3 2" xfId="390" xr:uid="{00000000-0005-0000-0000-00005D010000}"/>
    <cellStyle name="Normal 2 3 3 2 4" xfId="309" xr:uid="{00000000-0005-0000-0000-00005E010000}"/>
    <cellStyle name="Normal 2 3 3 3" xfId="146" xr:uid="{00000000-0005-0000-0000-00005F010000}"/>
    <cellStyle name="Normal 2 3 3 3 2" xfId="238" xr:uid="{00000000-0005-0000-0000-000060010000}"/>
    <cellStyle name="Normal 2 3 3 3 2 2" xfId="411" xr:uid="{00000000-0005-0000-0000-000061010000}"/>
    <cellStyle name="Normal 2 3 3 3 3" xfId="330" xr:uid="{00000000-0005-0000-0000-000062010000}"/>
    <cellStyle name="Normal 2 3 3 4" xfId="197" xr:uid="{00000000-0005-0000-0000-000063010000}"/>
    <cellStyle name="Normal 2 3 3 4 2" xfId="370" xr:uid="{00000000-0005-0000-0000-000064010000}"/>
    <cellStyle name="Normal 2 3 3 5" xfId="289" xr:uid="{00000000-0005-0000-0000-000065010000}"/>
    <cellStyle name="Normal 2 3 4" xfId="112" xr:uid="{00000000-0005-0000-0000-000066010000}"/>
    <cellStyle name="Normal 2 3 4 2" xfId="156" xr:uid="{00000000-0005-0000-0000-000067010000}"/>
    <cellStyle name="Normal 2 3 4 2 2" xfId="248" xr:uid="{00000000-0005-0000-0000-000068010000}"/>
    <cellStyle name="Normal 2 3 4 2 2 2" xfId="421" xr:uid="{00000000-0005-0000-0000-000069010000}"/>
    <cellStyle name="Normal 2 3 4 2 3" xfId="340" xr:uid="{00000000-0005-0000-0000-00006A010000}"/>
    <cellStyle name="Normal 2 3 4 3" xfId="207" xr:uid="{00000000-0005-0000-0000-00006B010000}"/>
    <cellStyle name="Normal 2 3 4 3 2" xfId="380" xr:uid="{00000000-0005-0000-0000-00006C010000}"/>
    <cellStyle name="Normal 2 3 4 4" xfId="299" xr:uid="{00000000-0005-0000-0000-00006D010000}"/>
    <cellStyle name="Normal 2 3 5" xfId="136" xr:uid="{00000000-0005-0000-0000-00006E010000}"/>
    <cellStyle name="Normal 2 3 5 2" xfId="228" xr:uid="{00000000-0005-0000-0000-00006F010000}"/>
    <cellStyle name="Normal 2 3 5 2 2" xfId="401" xr:uid="{00000000-0005-0000-0000-000070010000}"/>
    <cellStyle name="Normal 2 3 5 3" xfId="320" xr:uid="{00000000-0005-0000-0000-000071010000}"/>
    <cellStyle name="Normal 2 3 6" xfId="187" xr:uid="{00000000-0005-0000-0000-000072010000}"/>
    <cellStyle name="Normal 2 3 6 2" xfId="360" xr:uid="{00000000-0005-0000-0000-000073010000}"/>
    <cellStyle name="Normal 2 3 7" xfId="279" xr:uid="{00000000-0005-0000-0000-000074010000}"/>
    <cellStyle name="Normal 20" xfId="92" xr:uid="{00000000-0005-0000-0000-000075010000}"/>
    <cellStyle name="Normal 20 2" xfId="118" xr:uid="{00000000-0005-0000-0000-000076010000}"/>
    <cellStyle name="Normal 20 2 2" xfId="162" xr:uid="{00000000-0005-0000-0000-000077010000}"/>
    <cellStyle name="Normal 20 2 2 2" xfId="254" xr:uid="{00000000-0005-0000-0000-000078010000}"/>
    <cellStyle name="Normal 20 2 2 2 2" xfId="427" xr:uid="{00000000-0005-0000-0000-000079010000}"/>
    <cellStyle name="Normal 20 2 2 3" xfId="346" xr:uid="{00000000-0005-0000-0000-00007A010000}"/>
    <cellStyle name="Normal 20 2 3" xfId="213" xr:uid="{00000000-0005-0000-0000-00007B010000}"/>
    <cellStyle name="Normal 20 2 3 2" xfId="386" xr:uid="{00000000-0005-0000-0000-00007C010000}"/>
    <cellStyle name="Normal 20 2 4" xfId="305" xr:uid="{00000000-0005-0000-0000-00007D010000}"/>
    <cellStyle name="Normal 20 3" xfId="142" xr:uid="{00000000-0005-0000-0000-00007E010000}"/>
    <cellStyle name="Normal 20 3 2" xfId="234" xr:uid="{00000000-0005-0000-0000-00007F010000}"/>
    <cellStyle name="Normal 20 3 2 2" xfId="407" xr:uid="{00000000-0005-0000-0000-000080010000}"/>
    <cellStyle name="Normal 20 3 3" xfId="326" xr:uid="{00000000-0005-0000-0000-000081010000}"/>
    <cellStyle name="Normal 20 4" xfId="193" xr:uid="{00000000-0005-0000-0000-000082010000}"/>
    <cellStyle name="Normal 20 4 2" xfId="366" xr:uid="{00000000-0005-0000-0000-000083010000}"/>
    <cellStyle name="Normal 20 5" xfId="285" xr:uid="{00000000-0005-0000-0000-000084010000}"/>
    <cellStyle name="Normal 21" xfId="50" xr:uid="{00000000-0005-0000-0000-000085010000}"/>
    <cellStyle name="Normal 22" xfId="106" xr:uid="{00000000-0005-0000-0000-000086010000}"/>
    <cellStyle name="Normal 23" xfId="51" xr:uid="{00000000-0005-0000-0000-000087010000}"/>
    <cellStyle name="Normal 24" xfId="105" xr:uid="{00000000-0005-0000-0000-000088010000}"/>
    <cellStyle name="Normal 24 2" xfId="152" xr:uid="{00000000-0005-0000-0000-000089010000}"/>
    <cellStyle name="Normal 24 2 2" xfId="244" xr:uid="{00000000-0005-0000-0000-00008A010000}"/>
    <cellStyle name="Normal 24 2 2 2" xfId="417" xr:uid="{00000000-0005-0000-0000-00008B010000}"/>
    <cellStyle name="Normal 24 2 3" xfId="336" xr:uid="{00000000-0005-0000-0000-00008C010000}"/>
    <cellStyle name="Normal 24 3" xfId="203" xr:uid="{00000000-0005-0000-0000-00008D010000}"/>
    <cellStyle name="Normal 24 3 2" xfId="376" xr:uid="{00000000-0005-0000-0000-00008E010000}"/>
    <cellStyle name="Normal 24 4" xfId="295" xr:uid="{00000000-0005-0000-0000-00008F010000}"/>
    <cellStyle name="Normal 25" xfId="52" xr:uid="{00000000-0005-0000-0000-000090010000}"/>
    <cellStyle name="Normal 26" xfId="130" xr:uid="{00000000-0005-0000-0000-000091010000}"/>
    <cellStyle name="Normal 27" xfId="53" xr:uid="{00000000-0005-0000-0000-000092010000}"/>
    <cellStyle name="Normal 28" xfId="128" xr:uid="{00000000-0005-0000-0000-000093010000}"/>
    <cellStyle name="Normal 28 2" xfId="223" xr:uid="{00000000-0005-0000-0000-000094010000}"/>
    <cellStyle name="Normal 28 2 2" xfId="396" xr:uid="{00000000-0005-0000-0000-000095010000}"/>
    <cellStyle name="Normal 28 3" xfId="315" xr:uid="{00000000-0005-0000-0000-000096010000}"/>
    <cellStyle name="Normal 29" xfId="181" xr:uid="{00000000-0005-0000-0000-000097010000}"/>
    <cellStyle name="Normal 3" xfId="54" xr:uid="{00000000-0005-0000-0000-000098010000}"/>
    <cellStyle name="Normal 3 2" xfId="271" xr:uid="{00000000-0005-0000-0000-000099010000}"/>
    <cellStyle name="Normal 30" xfId="180" xr:uid="{00000000-0005-0000-0000-00009A010000}"/>
    <cellStyle name="Normal 30 2" xfId="356" xr:uid="{00000000-0005-0000-0000-00009B010000}"/>
    <cellStyle name="Normal 31" xfId="273" xr:uid="{00000000-0005-0000-0000-00009C010000}"/>
    <cellStyle name="Normal 32" xfId="272" xr:uid="{00000000-0005-0000-0000-00009D010000}"/>
    <cellStyle name="Normal 33" xfId="55" xr:uid="{00000000-0005-0000-0000-00009E010000}"/>
    <cellStyle name="Normal 34" xfId="442" xr:uid="{00000000-0005-0000-0000-00009F010000}"/>
    <cellStyle name="Normal 35" xfId="56" xr:uid="{00000000-0005-0000-0000-0000A0010000}"/>
    <cellStyle name="Normal 37" xfId="57" xr:uid="{00000000-0005-0000-0000-0000A1010000}"/>
    <cellStyle name="Normal 38" xfId="58" xr:uid="{00000000-0005-0000-0000-0000A2010000}"/>
    <cellStyle name="Normal 39" xfId="59" xr:uid="{00000000-0005-0000-0000-0000A3010000}"/>
    <cellStyle name="Normal 4" xfId="60" xr:uid="{00000000-0005-0000-0000-0000A4010000}"/>
    <cellStyle name="Normal 41" xfId="61" xr:uid="{00000000-0005-0000-0000-0000A5010000}"/>
    <cellStyle name="Normal 43" xfId="62" xr:uid="{00000000-0005-0000-0000-0000A6010000}"/>
    <cellStyle name="Normal 45" xfId="63" xr:uid="{00000000-0005-0000-0000-0000A7010000}"/>
    <cellStyle name="Normal 47" xfId="64" xr:uid="{00000000-0005-0000-0000-0000A8010000}"/>
    <cellStyle name="Normal 49" xfId="65" xr:uid="{00000000-0005-0000-0000-0000A9010000}"/>
    <cellStyle name="Normal 5" xfId="66" xr:uid="{00000000-0005-0000-0000-0000AA010000}"/>
    <cellStyle name="Normal 5 2" xfId="67" xr:uid="{00000000-0005-0000-0000-0000AB010000}"/>
    <cellStyle name="Normal 5 3" xfId="68" xr:uid="{00000000-0005-0000-0000-0000AC010000}"/>
    <cellStyle name="Normal 50 3" xfId="69" xr:uid="{00000000-0005-0000-0000-0000AD010000}"/>
    <cellStyle name="Normal 51" xfId="70" xr:uid="{00000000-0005-0000-0000-0000AE010000}"/>
    <cellStyle name="Normal 53" xfId="71" xr:uid="{00000000-0005-0000-0000-0000AF010000}"/>
    <cellStyle name="Normal 54 3" xfId="72" xr:uid="{00000000-0005-0000-0000-0000B0010000}"/>
    <cellStyle name="Normal 55" xfId="73" xr:uid="{00000000-0005-0000-0000-0000B1010000}"/>
    <cellStyle name="Normal 6" xfId="74" xr:uid="{00000000-0005-0000-0000-0000B2010000}"/>
    <cellStyle name="Normal 7" xfId="75" xr:uid="{00000000-0005-0000-0000-0000B3010000}"/>
    <cellStyle name="Normal 7 2" xfId="76" xr:uid="{00000000-0005-0000-0000-0000B4010000}"/>
    <cellStyle name="Normal 8" xfId="77" xr:uid="{00000000-0005-0000-0000-0000B5010000}"/>
    <cellStyle name="Normal 8 2" xfId="78" xr:uid="{00000000-0005-0000-0000-0000B6010000}"/>
    <cellStyle name="Normal 9" xfId="79" xr:uid="{00000000-0005-0000-0000-0000B7010000}"/>
    <cellStyle name="Percent" xfId="439" builtinId="5"/>
    <cellStyle name="Percent 2" xfId="80" xr:uid="{00000000-0005-0000-0000-0000B9010000}"/>
    <cellStyle name="Percent 3" xfId="441" xr:uid="{00000000-0005-0000-0000-0000BA010000}"/>
  </cellStyles>
  <dxfs count="0"/>
  <tableStyles count="0" defaultTableStyle="TableStyleMedium9" defaultPivotStyle="PivotStyleLight16"/>
  <colors>
    <mruColors>
      <color rgb="FF66FFFF"/>
      <color rgb="FFFFFF99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uryanto ." id="{C318022D-C088-4E3B-9FAE-7A7B97859B4B}" userId="f161af6e38c6ef7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M6" dT="2024-01-07T03:15:59.05" personId="{C318022D-C088-4E3B-9FAE-7A7B97859B4B}" id="{D74F9B15-7866-4C64-9D94-321AFE8AC3C5}">
    <text>ISI MANUAL COPY PASTE VALUE BERULANG DARI KOLOM PPH21 TERHUTANG SETAHUN SAMPAI KOLOM BN "0"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H20"/>
  <sheetViews>
    <sheetView tabSelected="1" workbookViewId="0">
      <selection activeCell="A3" sqref="A3"/>
    </sheetView>
  </sheetViews>
  <sheetFormatPr defaultRowHeight="14.5" x14ac:dyDescent="0.35"/>
  <cols>
    <col min="1" max="1" width="9.08984375" style="8"/>
    <col min="2" max="2" width="28.54296875" style="2" customWidth="1"/>
    <col min="3" max="3" width="3.90625" customWidth="1"/>
    <col min="5" max="5" width="16.6328125" customWidth="1"/>
    <col min="6" max="6" width="12.36328125" customWidth="1"/>
  </cols>
  <sheetData>
    <row r="2" spans="1:8" x14ac:dyDescent="0.35">
      <c r="A2" s="1" t="s">
        <v>13</v>
      </c>
      <c r="D2" s="1" t="s">
        <v>42</v>
      </c>
      <c r="E2" s="2"/>
    </row>
    <row r="3" spans="1:8" x14ac:dyDescent="0.35">
      <c r="A3" s="3" t="s">
        <v>4</v>
      </c>
      <c r="B3" s="4" t="s">
        <v>14</v>
      </c>
      <c r="D3" s="3" t="s">
        <v>4</v>
      </c>
      <c r="E3" s="4" t="s">
        <v>14</v>
      </c>
      <c r="H3" t="s">
        <v>91</v>
      </c>
    </row>
    <row r="4" spans="1:8" x14ac:dyDescent="0.35">
      <c r="A4" s="5" t="s">
        <v>29</v>
      </c>
      <c r="B4" s="6">
        <v>54000000</v>
      </c>
      <c r="C4" s="14"/>
      <c r="D4" s="5" t="s">
        <v>29</v>
      </c>
      <c r="E4" s="6" t="s">
        <v>43</v>
      </c>
      <c r="F4" s="15"/>
      <c r="H4" t="s">
        <v>92</v>
      </c>
    </row>
    <row r="5" spans="1:8" x14ac:dyDescent="0.35">
      <c r="A5" s="5" t="s">
        <v>30</v>
      </c>
      <c r="B5" s="6">
        <f>+B4+4500000</f>
        <v>58500000</v>
      </c>
      <c r="C5" s="14"/>
      <c r="D5" s="5" t="s">
        <v>30</v>
      </c>
      <c r="E5" s="6" t="s">
        <v>43</v>
      </c>
      <c r="F5" s="15"/>
    </row>
    <row r="6" spans="1:8" x14ac:dyDescent="0.35">
      <c r="A6" s="5" t="s">
        <v>31</v>
      </c>
      <c r="B6" s="6">
        <f>+B5+4500000</f>
        <v>63000000</v>
      </c>
      <c r="C6" s="14"/>
      <c r="D6" s="5" t="s">
        <v>15</v>
      </c>
      <c r="E6" s="6" t="s">
        <v>43</v>
      </c>
      <c r="F6" s="15"/>
    </row>
    <row r="7" spans="1:8" x14ac:dyDescent="0.35">
      <c r="A7" s="5" t="s">
        <v>32</v>
      </c>
      <c r="B7" s="6">
        <f>+B6+4500000</f>
        <v>67500000</v>
      </c>
      <c r="C7" s="14"/>
      <c r="D7" s="5" t="s">
        <v>31</v>
      </c>
      <c r="E7" s="6" t="s">
        <v>44</v>
      </c>
      <c r="F7" s="15"/>
    </row>
    <row r="8" spans="1:8" x14ac:dyDescent="0.35">
      <c r="A8" s="5" t="s">
        <v>15</v>
      </c>
      <c r="B8" s="6">
        <v>58500000</v>
      </c>
      <c r="C8" s="14"/>
      <c r="D8" s="5" t="s">
        <v>32</v>
      </c>
      <c r="E8" s="6" t="s">
        <v>44</v>
      </c>
      <c r="F8" s="15"/>
      <c r="G8" s="15"/>
    </row>
    <row r="9" spans="1:8" x14ac:dyDescent="0.35">
      <c r="A9" s="5" t="s">
        <v>16</v>
      </c>
      <c r="B9" s="6">
        <v>63000000</v>
      </c>
      <c r="C9" s="14"/>
      <c r="D9" s="5" t="s">
        <v>16</v>
      </c>
      <c r="E9" s="6" t="s">
        <v>44</v>
      </c>
      <c r="F9" s="15"/>
      <c r="G9" s="15"/>
    </row>
    <row r="10" spans="1:8" x14ac:dyDescent="0.35">
      <c r="A10" s="5" t="s">
        <v>17</v>
      </c>
      <c r="B10" s="6">
        <v>67500000</v>
      </c>
      <c r="C10" s="14"/>
      <c r="D10" s="5" t="s">
        <v>17</v>
      </c>
      <c r="E10" s="6" t="s">
        <v>44</v>
      </c>
      <c r="F10" s="15"/>
      <c r="G10" s="15"/>
    </row>
    <row r="11" spans="1:8" x14ac:dyDescent="0.35">
      <c r="A11" s="5" t="s">
        <v>18</v>
      </c>
      <c r="B11" s="6">
        <v>72000000</v>
      </c>
      <c r="C11" s="14"/>
      <c r="D11" s="5" t="s">
        <v>18</v>
      </c>
      <c r="E11" s="6" t="s">
        <v>45</v>
      </c>
      <c r="F11" s="15"/>
      <c r="G11" s="15"/>
    </row>
    <row r="14" spans="1:8" x14ac:dyDescent="0.35">
      <c r="A14" s="1" t="s">
        <v>28</v>
      </c>
    </row>
    <row r="15" spans="1:8" x14ac:dyDescent="0.35">
      <c r="A15" s="3" t="s">
        <v>19</v>
      </c>
      <c r="B15" s="4" t="s">
        <v>8</v>
      </c>
    </row>
    <row r="16" spans="1:8" x14ac:dyDescent="0.35">
      <c r="A16" s="7">
        <v>0.05</v>
      </c>
      <c r="B16" s="6" t="s">
        <v>33</v>
      </c>
    </row>
    <row r="17" spans="1:2" x14ac:dyDescent="0.35">
      <c r="A17" s="7">
        <v>0.15</v>
      </c>
      <c r="B17" s="6" t="s">
        <v>34</v>
      </c>
    </row>
    <row r="18" spans="1:2" x14ac:dyDescent="0.35">
      <c r="A18" s="7">
        <v>0.25</v>
      </c>
      <c r="B18" s="6" t="s">
        <v>20</v>
      </c>
    </row>
    <row r="19" spans="1:2" x14ac:dyDescent="0.35">
      <c r="A19" s="7">
        <v>0.3</v>
      </c>
      <c r="B19" s="6" t="s">
        <v>35</v>
      </c>
    </row>
    <row r="20" spans="1:2" x14ac:dyDescent="0.35">
      <c r="A20" s="7">
        <v>0.35</v>
      </c>
      <c r="B20" s="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S62"/>
  <sheetViews>
    <sheetView zoomScale="85" zoomScaleNormal="85" workbookViewId="0">
      <selection activeCell="K21" sqref="K21"/>
    </sheetView>
  </sheetViews>
  <sheetFormatPr defaultColWidth="9.08984375" defaultRowHeight="14.5" x14ac:dyDescent="0.35"/>
  <cols>
    <col min="1" max="1" width="14.54296875" style="23" customWidth="1"/>
    <col min="2" max="2" width="4.453125" style="24" customWidth="1"/>
    <col min="3" max="3" width="14.54296875" style="23" customWidth="1"/>
    <col min="4" max="4" width="8.54296875" style="25" customWidth="1"/>
    <col min="5" max="5" width="2" style="23" customWidth="1"/>
    <col min="6" max="6" width="14.54296875" style="23" customWidth="1"/>
    <col min="7" max="7" width="4.453125" style="24" customWidth="1"/>
    <col min="8" max="8" width="14.54296875" style="23" customWidth="1"/>
    <col min="9" max="9" width="8.54296875" style="25" customWidth="1"/>
    <col min="10" max="10" width="2" style="23" customWidth="1"/>
    <col min="11" max="11" width="14.54296875" style="23" customWidth="1"/>
    <col min="12" max="12" width="4.453125" style="24" customWidth="1"/>
    <col min="13" max="13" width="14.54296875" style="23" customWidth="1"/>
    <col min="14" max="14" width="8.54296875" style="25" customWidth="1"/>
    <col min="15" max="15" width="2" style="23" customWidth="1"/>
    <col min="16" max="16" width="14.54296875" style="23" customWidth="1"/>
    <col min="17" max="17" width="4.453125" style="24" customWidth="1"/>
    <col min="18" max="18" width="14.54296875" style="23" customWidth="1"/>
    <col min="19" max="19" width="8.54296875" style="25" customWidth="1"/>
    <col min="20" max="16384" width="9.08984375" style="26"/>
  </cols>
  <sheetData>
    <row r="1" spans="1:19" s="19" customFormat="1" x14ac:dyDescent="0.35">
      <c r="A1" s="16" t="s">
        <v>46</v>
      </c>
      <c r="B1" s="17"/>
      <c r="C1" s="16"/>
      <c r="D1" s="18"/>
      <c r="E1" s="16"/>
      <c r="F1" s="16"/>
      <c r="G1" s="17"/>
      <c r="H1" s="16"/>
      <c r="I1" s="18"/>
      <c r="J1" s="16"/>
      <c r="K1" s="16"/>
      <c r="L1" s="17"/>
      <c r="M1" s="16"/>
      <c r="N1" s="18"/>
      <c r="O1" s="16"/>
      <c r="P1" s="16"/>
      <c r="Q1" s="17"/>
      <c r="R1" s="16"/>
      <c r="S1" s="18"/>
    </row>
    <row r="3" spans="1:19" s="21" customFormat="1" ht="19.5" customHeight="1" x14ac:dyDescent="0.35">
      <c r="A3" s="290" t="s">
        <v>47</v>
      </c>
      <c r="B3" s="290"/>
      <c r="C3" s="290"/>
      <c r="D3" s="290"/>
      <c r="E3" s="20"/>
      <c r="F3" s="291" t="s">
        <v>48</v>
      </c>
      <c r="G3" s="291"/>
      <c r="H3" s="291"/>
      <c r="I3" s="291"/>
      <c r="J3" s="20"/>
      <c r="K3" s="292" t="s">
        <v>49</v>
      </c>
      <c r="L3" s="292"/>
      <c r="M3" s="292"/>
      <c r="N3" s="292"/>
      <c r="O3" s="20"/>
      <c r="P3" s="293" t="s">
        <v>50</v>
      </c>
      <c r="Q3" s="293"/>
      <c r="R3" s="293"/>
      <c r="S3" s="293"/>
    </row>
    <row r="4" spans="1:19" s="19" customFormat="1" x14ac:dyDescent="0.35">
      <c r="A4" s="294" t="s">
        <v>51</v>
      </c>
      <c r="B4" s="294"/>
      <c r="C4" s="294"/>
      <c r="D4" s="22" t="s">
        <v>52</v>
      </c>
      <c r="E4" s="16"/>
      <c r="F4" s="294" t="s">
        <v>51</v>
      </c>
      <c r="G4" s="294"/>
      <c r="H4" s="294"/>
      <c r="I4" s="22" t="s">
        <v>52</v>
      </c>
      <c r="J4" s="16"/>
      <c r="K4" s="294" t="s">
        <v>51</v>
      </c>
      <c r="L4" s="294"/>
      <c r="M4" s="294"/>
      <c r="N4" s="22" t="s">
        <v>52</v>
      </c>
      <c r="O4" s="16"/>
      <c r="P4" s="294" t="s">
        <v>51</v>
      </c>
      <c r="Q4" s="294"/>
      <c r="R4" s="294"/>
      <c r="S4" s="22" t="s">
        <v>52</v>
      </c>
    </row>
    <row r="5" spans="1:19" x14ac:dyDescent="0.35">
      <c r="A5" s="23">
        <v>0</v>
      </c>
      <c r="B5" s="24" t="s">
        <v>53</v>
      </c>
      <c r="C5" s="23">
        <v>5400000</v>
      </c>
      <c r="D5" s="25">
        <v>0</v>
      </c>
      <c r="F5" s="23">
        <v>0</v>
      </c>
      <c r="G5" s="24" t="s">
        <v>53</v>
      </c>
      <c r="H5" s="23">
        <v>6200000</v>
      </c>
      <c r="I5" s="25">
        <v>0</v>
      </c>
      <c r="K5" s="23">
        <v>0</v>
      </c>
      <c r="L5" s="24" t="s">
        <v>53</v>
      </c>
      <c r="M5" s="23">
        <v>6600000</v>
      </c>
      <c r="N5" s="25">
        <v>0</v>
      </c>
      <c r="P5" s="23">
        <v>0</v>
      </c>
      <c r="Q5" s="24" t="s">
        <v>53</v>
      </c>
      <c r="R5" s="23">
        <v>450000</v>
      </c>
      <c r="S5" s="25">
        <v>0</v>
      </c>
    </row>
    <row r="6" spans="1:19" x14ac:dyDescent="0.35">
      <c r="A6" s="23">
        <v>5400001</v>
      </c>
      <c r="B6" s="24" t="s">
        <v>53</v>
      </c>
      <c r="C6" s="23">
        <v>5650000</v>
      </c>
      <c r="D6" s="25">
        <v>2.5000000000000001E-3</v>
      </c>
      <c r="F6" s="23">
        <v>6200001</v>
      </c>
      <c r="G6" s="24" t="s">
        <v>53</v>
      </c>
      <c r="H6" s="23">
        <v>6500000</v>
      </c>
      <c r="I6" s="25">
        <v>2.5000000000000001E-3</v>
      </c>
      <c r="K6" s="23">
        <v>6600001</v>
      </c>
      <c r="L6" s="24" t="s">
        <v>53</v>
      </c>
      <c r="M6" s="23">
        <v>6950000</v>
      </c>
      <c r="N6" s="25">
        <v>2.5000000000000001E-3</v>
      </c>
      <c r="P6" s="23">
        <v>450000</v>
      </c>
      <c r="Q6" s="24" t="s">
        <v>53</v>
      </c>
      <c r="R6" s="23">
        <v>2500000</v>
      </c>
      <c r="S6" s="25">
        <v>5.0000000000000001E-3</v>
      </c>
    </row>
    <row r="7" spans="1:19" x14ac:dyDescent="0.35">
      <c r="A7" s="23">
        <v>5650001</v>
      </c>
      <c r="B7" s="24" t="s">
        <v>53</v>
      </c>
      <c r="C7" s="23">
        <v>5950000</v>
      </c>
      <c r="D7" s="25">
        <v>5.0000000000000001E-3</v>
      </c>
      <c r="F7" s="23">
        <v>6500001</v>
      </c>
      <c r="G7" s="24" t="s">
        <v>53</v>
      </c>
      <c r="H7" s="23">
        <v>6850000</v>
      </c>
      <c r="I7" s="25">
        <v>5.0000000000000001E-3</v>
      </c>
      <c r="K7" s="23">
        <v>6950001</v>
      </c>
      <c r="L7" s="24" t="s">
        <v>53</v>
      </c>
      <c r="M7" s="23">
        <v>7350000</v>
      </c>
      <c r="N7" s="25">
        <v>5.0000000000000001E-3</v>
      </c>
    </row>
    <row r="8" spans="1:19" x14ac:dyDescent="0.35">
      <c r="A8" s="23">
        <v>5950001</v>
      </c>
      <c r="B8" s="24" t="s">
        <v>53</v>
      </c>
      <c r="C8" s="23">
        <v>6300000</v>
      </c>
      <c r="D8" s="25">
        <v>7.4999999999999997E-3</v>
      </c>
      <c r="F8" s="23">
        <v>6850001</v>
      </c>
      <c r="G8" s="24" t="s">
        <v>53</v>
      </c>
      <c r="H8" s="23">
        <v>7300000</v>
      </c>
      <c r="I8" s="25">
        <v>7.4999999999999997E-3</v>
      </c>
      <c r="K8" s="23">
        <v>7350001</v>
      </c>
      <c r="L8" s="24" t="s">
        <v>53</v>
      </c>
      <c r="M8" s="23">
        <v>7800000</v>
      </c>
      <c r="N8" s="25">
        <v>7.4999999999999997E-3</v>
      </c>
    </row>
    <row r="9" spans="1:19" x14ac:dyDescent="0.35">
      <c r="A9" s="23">
        <v>6300001</v>
      </c>
      <c r="B9" s="24" t="s">
        <v>53</v>
      </c>
      <c r="C9" s="23">
        <v>6750000</v>
      </c>
      <c r="D9" s="25">
        <v>0.01</v>
      </c>
      <c r="F9" s="23">
        <v>7300001</v>
      </c>
      <c r="G9" s="24" t="s">
        <v>53</v>
      </c>
      <c r="H9" s="23">
        <v>9200000</v>
      </c>
      <c r="I9" s="25">
        <v>0.01</v>
      </c>
      <c r="K9" s="23">
        <v>7800001</v>
      </c>
      <c r="L9" s="24" t="s">
        <v>53</v>
      </c>
      <c r="M9" s="23">
        <v>8850000</v>
      </c>
      <c r="N9" s="25">
        <v>0.01</v>
      </c>
    </row>
    <row r="10" spans="1:19" x14ac:dyDescent="0.35">
      <c r="A10" s="23">
        <v>6750001</v>
      </c>
      <c r="B10" s="24" t="s">
        <v>53</v>
      </c>
      <c r="C10" s="23">
        <v>7500000</v>
      </c>
      <c r="D10" s="25">
        <v>1.2500000000000001E-2</v>
      </c>
      <c r="F10" s="23">
        <v>9200001</v>
      </c>
      <c r="G10" s="24" t="s">
        <v>53</v>
      </c>
      <c r="H10" s="23">
        <v>10750000</v>
      </c>
      <c r="I10" s="25">
        <v>1.4999999999999999E-2</v>
      </c>
      <c r="K10" s="23">
        <v>8850001</v>
      </c>
      <c r="L10" s="24" t="s">
        <v>53</v>
      </c>
      <c r="M10" s="23">
        <v>9800000</v>
      </c>
      <c r="N10" s="25">
        <v>1.2500000000000001E-2</v>
      </c>
    </row>
    <row r="11" spans="1:19" x14ac:dyDescent="0.35">
      <c r="A11" s="23">
        <v>7500001</v>
      </c>
      <c r="B11" s="24" t="s">
        <v>53</v>
      </c>
      <c r="C11" s="23">
        <v>8550000</v>
      </c>
      <c r="D11" s="25">
        <v>1.4999999999999999E-2</v>
      </c>
      <c r="F11" s="23">
        <v>10750001</v>
      </c>
      <c r="G11" s="24" t="s">
        <v>53</v>
      </c>
      <c r="H11" s="23">
        <v>11250000</v>
      </c>
      <c r="I11" s="25">
        <v>0.02</v>
      </c>
      <c r="K11" s="23">
        <v>9800001</v>
      </c>
      <c r="L11" s="24" t="s">
        <v>53</v>
      </c>
      <c r="M11" s="23">
        <v>10950000</v>
      </c>
      <c r="N11" s="25">
        <v>1.4999999999999999E-2</v>
      </c>
    </row>
    <row r="12" spans="1:19" x14ac:dyDescent="0.35">
      <c r="A12" s="23">
        <v>8550001</v>
      </c>
      <c r="B12" s="24" t="s">
        <v>53</v>
      </c>
      <c r="C12" s="23">
        <v>9650000</v>
      </c>
      <c r="D12" s="25">
        <v>1.7500000000000002E-2</v>
      </c>
      <c r="F12" s="23">
        <v>11250001</v>
      </c>
      <c r="G12" s="24" t="s">
        <v>53</v>
      </c>
      <c r="H12" s="23">
        <v>11600000</v>
      </c>
      <c r="I12" s="25">
        <v>2.5000000000000001E-2</v>
      </c>
      <c r="K12" s="23">
        <v>10950001</v>
      </c>
      <c r="L12" s="24" t="s">
        <v>53</v>
      </c>
      <c r="M12" s="23">
        <v>11200000</v>
      </c>
      <c r="N12" s="25">
        <v>1.7500000000000002E-2</v>
      </c>
    </row>
    <row r="13" spans="1:19" x14ac:dyDescent="0.35">
      <c r="A13" s="23">
        <v>9650001</v>
      </c>
      <c r="B13" s="24" t="s">
        <v>53</v>
      </c>
      <c r="C13" s="23">
        <v>10050000</v>
      </c>
      <c r="D13" s="25">
        <v>0.02</v>
      </c>
      <c r="F13" s="23">
        <v>11600001</v>
      </c>
      <c r="G13" s="24" t="s">
        <v>53</v>
      </c>
      <c r="H13" s="23">
        <v>12600000</v>
      </c>
      <c r="I13" s="25">
        <v>0.03</v>
      </c>
      <c r="K13" s="23">
        <v>11200001</v>
      </c>
      <c r="L13" s="24" t="s">
        <v>53</v>
      </c>
      <c r="M13" s="23">
        <v>12050000</v>
      </c>
      <c r="N13" s="25">
        <v>0.02</v>
      </c>
    </row>
    <row r="14" spans="1:19" x14ac:dyDescent="0.35">
      <c r="A14" s="23">
        <v>10050001</v>
      </c>
      <c r="B14" s="24" t="s">
        <v>53</v>
      </c>
      <c r="C14" s="23">
        <v>10350000</v>
      </c>
      <c r="D14" s="25">
        <v>2.2499999999999999E-2</v>
      </c>
      <c r="F14" s="23">
        <v>12600001</v>
      </c>
      <c r="G14" s="24" t="s">
        <v>53</v>
      </c>
      <c r="H14" s="23">
        <v>13600000</v>
      </c>
      <c r="I14" s="25">
        <v>0.04</v>
      </c>
      <c r="K14" s="23">
        <v>12050001</v>
      </c>
      <c r="L14" s="24" t="s">
        <v>53</v>
      </c>
      <c r="M14" s="23">
        <v>12950000</v>
      </c>
      <c r="N14" s="25">
        <v>0.03</v>
      </c>
    </row>
    <row r="15" spans="1:19" x14ac:dyDescent="0.35">
      <c r="A15" s="23">
        <v>10350001</v>
      </c>
      <c r="B15" s="24" t="s">
        <v>53</v>
      </c>
      <c r="C15" s="23">
        <v>10700000</v>
      </c>
      <c r="D15" s="25">
        <v>2.5000000000000001E-2</v>
      </c>
      <c r="F15" s="23">
        <v>13600001</v>
      </c>
      <c r="G15" s="24" t="s">
        <v>53</v>
      </c>
      <c r="H15" s="23">
        <v>14950000</v>
      </c>
      <c r="I15" s="25">
        <v>0.05</v>
      </c>
      <c r="K15" s="23">
        <v>12950001</v>
      </c>
      <c r="L15" s="24" t="s">
        <v>53</v>
      </c>
      <c r="M15" s="23">
        <v>14150000</v>
      </c>
      <c r="N15" s="25">
        <v>0.04</v>
      </c>
    </row>
    <row r="16" spans="1:19" x14ac:dyDescent="0.35">
      <c r="A16" s="23">
        <v>10700001</v>
      </c>
      <c r="B16" s="24" t="s">
        <v>53</v>
      </c>
      <c r="C16" s="23">
        <v>11050000</v>
      </c>
      <c r="D16" s="25">
        <v>0.03</v>
      </c>
      <c r="F16" s="23">
        <v>14950001</v>
      </c>
      <c r="G16" s="24" t="s">
        <v>53</v>
      </c>
      <c r="H16" s="23">
        <v>16400000</v>
      </c>
      <c r="I16" s="25">
        <v>0.06</v>
      </c>
      <c r="K16" s="23">
        <v>14150001</v>
      </c>
      <c r="L16" s="24" t="s">
        <v>53</v>
      </c>
      <c r="M16" s="23">
        <v>15550000</v>
      </c>
      <c r="N16" s="25">
        <v>0.05</v>
      </c>
    </row>
    <row r="17" spans="1:14" x14ac:dyDescent="0.35">
      <c r="A17" s="23">
        <v>11050001</v>
      </c>
      <c r="B17" s="24" t="s">
        <v>53</v>
      </c>
      <c r="C17" s="23">
        <v>11600000</v>
      </c>
      <c r="D17" s="25">
        <v>3.5000000000000003E-2</v>
      </c>
      <c r="F17" s="23">
        <v>16400001</v>
      </c>
      <c r="G17" s="24" t="s">
        <v>53</v>
      </c>
      <c r="H17" s="23">
        <v>18450000</v>
      </c>
      <c r="I17" s="25">
        <v>7.0000000000000007E-2</v>
      </c>
      <c r="K17" s="23">
        <v>15550001</v>
      </c>
      <c r="L17" s="24" t="s">
        <v>53</v>
      </c>
      <c r="M17" s="23">
        <v>17050000</v>
      </c>
      <c r="N17" s="25">
        <v>0.06</v>
      </c>
    </row>
    <row r="18" spans="1:14" x14ac:dyDescent="0.35">
      <c r="A18" s="23">
        <v>11600001</v>
      </c>
      <c r="B18" s="24" t="s">
        <v>53</v>
      </c>
      <c r="C18" s="23">
        <v>12500000</v>
      </c>
      <c r="D18" s="25">
        <v>0.04</v>
      </c>
      <c r="F18" s="23">
        <v>18450001</v>
      </c>
      <c r="G18" s="24" t="s">
        <v>53</v>
      </c>
      <c r="H18" s="23">
        <v>21850000</v>
      </c>
      <c r="I18" s="25">
        <v>0.08</v>
      </c>
      <c r="K18" s="23">
        <v>17050001</v>
      </c>
      <c r="L18" s="24" t="s">
        <v>53</v>
      </c>
      <c r="M18" s="23">
        <v>19500000</v>
      </c>
      <c r="N18" s="25">
        <v>7.0000000000000007E-2</v>
      </c>
    </row>
    <row r="19" spans="1:14" x14ac:dyDescent="0.35">
      <c r="A19" s="23">
        <v>12500001</v>
      </c>
      <c r="B19" s="24" t="s">
        <v>53</v>
      </c>
      <c r="C19" s="23">
        <v>13750000</v>
      </c>
      <c r="D19" s="25">
        <v>0.05</v>
      </c>
      <c r="F19" s="23">
        <v>21850001</v>
      </c>
      <c r="G19" s="24" t="s">
        <v>53</v>
      </c>
      <c r="H19" s="23">
        <v>26000000</v>
      </c>
      <c r="I19" s="25">
        <v>0.09</v>
      </c>
      <c r="K19" s="23">
        <v>19500001</v>
      </c>
      <c r="L19" s="24" t="s">
        <v>53</v>
      </c>
      <c r="M19" s="23">
        <v>22700000</v>
      </c>
      <c r="N19" s="25">
        <v>0.08</v>
      </c>
    </row>
    <row r="20" spans="1:14" x14ac:dyDescent="0.35">
      <c r="A20" s="23">
        <v>13750001</v>
      </c>
      <c r="B20" s="24" t="s">
        <v>53</v>
      </c>
      <c r="C20" s="23">
        <v>15100000</v>
      </c>
      <c r="D20" s="25">
        <v>0.06</v>
      </c>
      <c r="F20" s="23">
        <v>26000001</v>
      </c>
      <c r="G20" s="24" t="s">
        <v>53</v>
      </c>
      <c r="H20" s="23">
        <v>27700000</v>
      </c>
      <c r="I20" s="25">
        <v>0.1</v>
      </c>
      <c r="K20" s="23">
        <v>22700001</v>
      </c>
      <c r="L20" s="24" t="s">
        <v>53</v>
      </c>
      <c r="M20" s="23">
        <v>26600000</v>
      </c>
      <c r="N20" s="25">
        <v>0.09</v>
      </c>
    </row>
    <row r="21" spans="1:14" x14ac:dyDescent="0.35">
      <c r="A21" s="23">
        <v>15100001</v>
      </c>
      <c r="B21" s="24" t="s">
        <v>53</v>
      </c>
      <c r="C21" s="23">
        <v>16950000</v>
      </c>
      <c r="D21" s="25">
        <v>7.0000000000000007E-2</v>
      </c>
      <c r="F21" s="23">
        <v>27700001</v>
      </c>
      <c r="G21" s="24" t="s">
        <v>53</v>
      </c>
      <c r="H21" s="23">
        <v>29350000</v>
      </c>
      <c r="I21" s="25">
        <v>0.11</v>
      </c>
      <c r="K21" s="23">
        <v>26600001</v>
      </c>
      <c r="L21" s="24" t="s">
        <v>53</v>
      </c>
      <c r="M21" s="23">
        <v>28100000</v>
      </c>
      <c r="N21" s="25">
        <v>0.1</v>
      </c>
    </row>
    <row r="22" spans="1:14" x14ac:dyDescent="0.35">
      <c r="A22" s="23">
        <v>16950001</v>
      </c>
      <c r="B22" s="24" t="s">
        <v>53</v>
      </c>
      <c r="C22" s="23">
        <v>19750000</v>
      </c>
      <c r="D22" s="25">
        <v>0.08</v>
      </c>
      <c r="F22" s="23">
        <v>29350001</v>
      </c>
      <c r="G22" s="24" t="s">
        <v>53</v>
      </c>
      <c r="H22" s="23">
        <v>31450000</v>
      </c>
      <c r="I22" s="25">
        <v>0.12</v>
      </c>
      <c r="K22" s="23">
        <v>28100001</v>
      </c>
      <c r="L22" s="24" t="s">
        <v>53</v>
      </c>
      <c r="M22" s="23">
        <v>30100000</v>
      </c>
      <c r="N22" s="25">
        <v>0.11</v>
      </c>
    </row>
    <row r="23" spans="1:14" x14ac:dyDescent="0.35">
      <c r="A23" s="23">
        <v>19750001</v>
      </c>
      <c r="B23" s="24" t="s">
        <v>53</v>
      </c>
      <c r="C23" s="23">
        <v>24150000</v>
      </c>
      <c r="D23" s="25">
        <v>0.09</v>
      </c>
      <c r="F23" s="23">
        <v>31450001</v>
      </c>
      <c r="G23" s="24" t="s">
        <v>53</v>
      </c>
      <c r="H23" s="23">
        <v>33950000</v>
      </c>
      <c r="I23" s="25">
        <v>0.13</v>
      </c>
      <c r="K23" s="23">
        <v>30100001</v>
      </c>
      <c r="L23" s="24" t="s">
        <v>53</v>
      </c>
      <c r="M23" s="23">
        <v>32600000</v>
      </c>
      <c r="N23" s="25">
        <v>0.12</v>
      </c>
    </row>
    <row r="24" spans="1:14" x14ac:dyDescent="0.35">
      <c r="A24" s="23">
        <v>24150001</v>
      </c>
      <c r="B24" s="24" t="s">
        <v>53</v>
      </c>
      <c r="C24" s="23">
        <v>26450000</v>
      </c>
      <c r="D24" s="25">
        <v>0.1</v>
      </c>
      <c r="F24" s="23">
        <v>33950001</v>
      </c>
      <c r="G24" s="24" t="s">
        <v>53</v>
      </c>
      <c r="H24" s="23">
        <v>37100000</v>
      </c>
      <c r="I24" s="25">
        <v>0.14000000000000001</v>
      </c>
      <c r="K24" s="23">
        <v>32600001</v>
      </c>
      <c r="L24" s="24" t="s">
        <v>53</v>
      </c>
      <c r="M24" s="23">
        <v>35400000</v>
      </c>
      <c r="N24" s="25">
        <v>0.13</v>
      </c>
    </row>
    <row r="25" spans="1:14" x14ac:dyDescent="0.35">
      <c r="A25" s="23">
        <v>26450001</v>
      </c>
      <c r="B25" s="24" t="s">
        <v>53</v>
      </c>
      <c r="C25" s="23">
        <v>28000000</v>
      </c>
      <c r="D25" s="25">
        <v>0.11</v>
      </c>
      <c r="F25" s="23">
        <v>37100001</v>
      </c>
      <c r="G25" s="24" t="s">
        <v>53</v>
      </c>
      <c r="H25" s="23">
        <v>41100000</v>
      </c>
      <c r="I25" s="25">
        <v>0.15</v>
      </c>
      <c r="K25" s="23">
        <v>35400001</v>
      </c>
      <c r="L25" s="24" t="s">
        <v>53</v>
      </c>
      <c r="M25" s="23">
        <v>38900000</v>
      </c>
      <c r="N25" s="25">
        <v>0.14000000000000001</v>
      </c>
    </row>
    <row r="26" spans="1:14" x14ac:dyDescent="0.35">
      <c r="A26" s="23">
        <v>28000001</v>
      </c>
      <c r="B26" s="24" t="s">
        <v>53</v>
      </c>
      <c r="C26" s="23">
        <v>30050000</v>
      </c>
      <c r="D26" s="25">
        <v>0.12</v>
      </c>
      <c r="F26" s="23">
        <v>41100001</v>
      </c>
      <c r="G26" s="24" t="s">
        <v>53</v>
      </c>
      <c r="H26" s="23">
        <v>45800000</v>
      </c>
      <c r="I26" s="25">
        <v>0.16</v>
      </c>
      <c r="K26" s="23">
        <v>38900001</v>
      </c>
      <c r="L26" s="24" t="s">
        <v>53</v>
      </c>
      <c r="M26" s="23">
        <v>43000000</v>
      </c>
      <c r="N26" s="25">
        <v>0.15</v>
      </c>
    </row>
    <row r="27" spans="1:14" x14ac:dyDescent="0.35">
      <c r="A27" s="23">
        <v>30050001</v>
      </c>
      <c r="B27" s="24" t="s">
        <v>53</v>
      </c>
      <c r="C27" s="23">
        <v>32400000</v>
      </c>
      <c r="D27" s="25">
        <v>0.13</v>
      </c>
      <c r="F27" s="23">
        <v>45800001</v>
      </c>
      <c r="G27" s="24" t="s">
        <v>53</v>
      </c>
      <c r="H27" s="23">
        <v>49500000</v>
      </c>
      <c r="I27" s="25">
        <v>0.17</v>
      </c>
      <c r="K27" s="23">
        <v>43000001</v>
      </c>
      <c r="L27" s="24" t="s">
        <v>53</v>
      </c>
      <c r="M27" s="23">
        <v>47400000</v>
      </c>
      <c r="N27" s="25">
        <v>0.16</v>
      </c>
    </row>
    <row r="28" spans="1:14" x14ac:dyDescent="0.35">
      <c r="A28" s="23">
        <v>32400001</v>
      </c>
      <c r="B28" s="24" t="s">
        <v>53</v>
      </c>
      <c r="C28" s="23">
        <v>35400000</v>
      </c>
      <c r="D28" s="25">
        <v>0.14000000000000001</v>
      </c>
      <c r="F28" s="23">
        <v>49500001</v>
      </c>
      <c r="G28" s="24" t="s">
        <v>53</v>
      </c>
      <c r="H28" s="23">
        <v>53800000</v>
      </c>
      <c r="I28" s="25">
        <v>0.18</v>
      </c>
      <c r="K28" s="23">
        <v>47400001</v>
      </c>
      <c r="L28" s="24" t="s">
        <v>53</v>
      </c>
      <c r="M28" s="23">
        <v>51200000</v>
      </c>
      <c r="N28" s="25">
        <v>0.17</v>
      </c>
    </row>
    <row r="29" spans="1:14" x14ac:dyDescent="0.35">
      <c r="A29" s="23">
        <v>35400001</v>
      </c>
      <c r="B29" s="24" t="s">
        <v>53</v>
      </c>
      <c r="C29" s="23">
        <v>39100000</v>
      </c>
      <c r="D29" s="25">
        <v>0.15</v>
      </c>
      <c r="F29" s="23">
        <v>53800001</v>
      </c>
      <c r="G29" s="24" t="s">
        <v>53</v>
      </c>
      <c r="H29" s="23">
        <v>58500000</v>
      </c>
      <c r="I29" s="25">
        <v>0.19</v>
      </c>
      <c r="K29" s="23">
        <v>51200001</v>
      </c>
      <c r="L29" s="24" t="s">
        <v>53</v>
      </c>
      <c r="M29" s="23">
        <v>55800000</v>
      </c>
      <c r="N29" s="25">
        <v>0.18</v>
      </c>
    </row>
    <row r="30" spans="1:14" x14ac:dyDescent="0.35">
      <c r="A30" s="23">
        <v>39100001</v>
      </c>
      <c r="B30" s="24" t="s">
        <v>53</v>
      </c>
      <c r="C30" s="23">
        <v>43850000</v>
      </c>
      <c r="D30" s="25">
        <v>0.16</v>
      </c>
      <c r="F30" s="23">
        <v>58500001</v>
      </c>
      <c r="G30" s="24" t="s">
        <v>53</v>
      </c>
      <c r="H30" s="23">
        <v>64000000</v>
      </c>
      <c r="I30" s="25">
        <v>0.2</v>
      </c>
      <c r="K30" s="23">
        <v>55800001</v>
      </c>
      <c r="L30" s="24" t="s">
        <v>53</v>
      </c>
      <c r="M30" s="23">
        <v>60400000</v>
      </c>
      <c r="N30" s="25">
        <v>0.19</v>
      </c>
    </row>
    <row r="31" spans="1:14" x14ac:dyDescent="0.35">
      <c r="A31" s="23">
        <v>43850001</v>
      </c>
      <c r="B31" s="24" t="s">
        <v>53</v>
      </c>
      <c r="C31" s="23">
        <v>47800000</v>
      </c>
      <c r="D31" s="25">
        <v>0.17</v>
      </c>
      <c r="F31" s="23">
        <v>64000001</v>
      </c>
      <c r="G31" s="24" t="s">
        <v>53</v>
      </c>
      <c r="H31" s="23">
        <v>71000000</v>
      </c>
      <c r="I31" s="25">
        <v>0.21</v>
      </c>
      <c r="K31" s="23">
        <v>60400001</v>
      </c>
      <c r="L31" s="24" t="s">
        <v>53</v>
      </c>
      <c r="M31" s="23">
        <v>66700000</v>
      </c>
      <c r="N31" s="25">
        <v>0.2</v>
      </c>
    </row>
    <row r="32" spans="1:14" x14ac:dyDescent="0.35">
      <c r="A32" s="23">
        <v>47800001</v>
      </c>
      <c r="B32" s="24" t="s">
        <v>53</v>
      </c>
      <c r="C32" s="23">
        <v>51400000</v>
      </c>
      <c r="D32" s="25">
        <v>0.18</v>
      </c>
      <c r="F32" s="23">
        <v>71000001</v>
      </c>
      <c r="G32" s="24" t="s">
        <v>53</v>
      </c>
      <c r="H32" s="23">
        <v>80000000</v>
      </c>
      <c r="I32" s="25">
        <v>0.22</v>
      </c>
      <c r="K32" s="23">
        <v>66700001</v>
      </c>
      <c r="L32" s="24" t="s">
        <v>53</v>
      </c>
      <c r="M32" s="23">
        <v>74500000</v>
      </c>
      <c r="N32" s="25">
        <v>0.21</v>
      </c>
    </row>
    <row r="33" spans="1:18" x14ac:dyDescent="0.35">
      <c r="A33" s="23">
        <v>51400001</v>
      </c>
      <c r="B33" s="24" t="s">
        <v>53</v>
      </c>
      <c r="C33" s="23">
        <v>56300000</v>
      </c>
      <c r="D33" s="25">
        <v>0.19</v>
      </c>
      <c r="F33" s="23">
        <v>80000001</v>
      </c>
      <c r="G33" s="24" t="s">
        <v>53</v>
      </c>
      <c r="H33" s="23">
        <v>93000000</v>
      </c>
      <c r="I33" s="25">
        <v>0.23</v>
      </c>
      <c r="K33" s="23">
        <v>74500001</v>
      </c>
      <c r="L33" s="24" t="s">
        <v>53</v>
      </c>
      <c r="M33" s="23">
        <v>83200000</v>
      </c>
      <c r="N33" s="25">
        <v>0.22</v>
      </c>
    </row>
    <row r="34" spans="1:18" x14ac:dyDescent="0.35">
      <c r="A34" s="23">
        <v>56300001</v>
      </c>
      <c r="B34" s="24" t="s">
        <v>53</v>
      </c>
      <c r="C34" s="23">
        <v>62200000</v>
      </c>
      <c r="D34" s="25">
        <v>0.2</v>
      </c>
      <c r="F34" s="23">
        <v>93000001</v>
      </c>
      <c r="G34" s="24" t="s">
        <v>53</v>
      </c>
      <c r="H34" s="23">
        <v>109000000</v>
      </c>
      <c r="I34" s="25">
        <v>0.24</v>
      </c>
      <c r="K34" s="23">
        <v>83200001</v>
      </c>
      <c r="L34" s="24" t="s">
        <v>53</v>
      </c>
      <c r="M34" s="23">
        <v>95600000</v>
      </c>
      <c r="N34" s="25">
        <v>0.23</v>
      </c>
    </row>
    <row r="35" spans="1:18" x14ac:dyDescent="0.35">
      <c r="A35" s="23">
        <v>62200001</v>
      </c>
      <c r="B35" s="24" t="s">
        <v>53</v>
      </c>
      <c r="C35" s="23">
        <v>68600000</v>
      </c>
      <c r="D35" s="25">
        <v>0.21</v>
      </c>
      <c r="F35" s="23">
        <v>109000001</v>
      </c>
      <c r="G35" s="24" t="s">
        <v>53</v>
      </c>
      <c r="H35" s="23">
        <v>129000000</v>
      </c>
      <c r="I35" s="25">
        <v>0.25</v>
      </c>
      <c r="K35" s="23">
        <v>95600001</v>
      </c>
      <c r="L35" s="24" t="s">
        <v>53</v>
      </c>
      <c r="M35" s="23">
        <v>110000000</v>
      </c>
      <c r="N35" s="25">
        <v>0.24</v>
      </c>
    </row>
    <row r="36" spans="1:18" x14ac:dyDescent="0.35">
      <c r="A36" s="23">
        <v>68600001</v>
      </c>
      <c r="B36" s="24" t="s">
        <v>53</v>
      </c>
      <c r="C36" s="23">
        <v>77500000</v>
      </c>
      <c r="D36" s="25">
        <v>0.22</v>
      </c>
      <c r="F36" s="23">
        <v>129000001</v>
      </c>
      <c r="G36" s="24" t="s">
        <v>53</v>
      </c>
      <c r="H36" s="23">
        <v>163000000</v>
      </c>
      <c r="I36" s="25">
        <v>0.26</v>
      </c>
      <c r="K36" s="23">
        <v>110000001</v>
      </c>
      <c r="L36" s="24" t="s">
        <v>53</v>
      </c>
      <c r="M36" s="23">
        <v>134000000</v>
      </c>
      <c r="N36" s="25">
        <v>0.25</v>
      </c>
    </row>
    <row r="37" spans="1:18" x14ac:dyDescent="0.35">
      <c r="A37" s="23">
        <v>77500001</v>
      </c>
      <c r="B37" s="24" t="s">
        <v>53</v>
      </c>
      <c r="C37" s="23">
        <v>89000000</v>
      </c>
      <c r="D37" s="25">
        <v>0.23</v>
      </c>
      <c r="F37" s="23">
        <v>163000001</v>
      </c>
      <c r="G37" s="24" t="s">
        <v>53</v>
      </c>
      <c r="H37" s="23">
        <v>211000000</v>
      </c>
      <c r="I37" s="25">
        <v>0.27</v>
      </c>
      <c r="K37" s="23">
        <v>134000001</v>
      </c>
      <c r="L37" s="24" t="s">
        <v>53</v>
      </c>
      <c r="M37" s="23">
        <v>169000000</v>
      </c>
      <c r="N37" s="25">
        <v>0.26</v>
      </c>
    </row>
    <row r="38" spans="1:18" x14ac:dyDescent="0.35">
      <c r="A38" s="23">
        <v>89000001</v>
      </c>
      <c r="B38" s="24" t="s">
        <v>53</v>
      </c>
      <c r="C38" s="23">
        <v>103000000</v>
      </c>
      <c r="D38" s="25">
        <v>0.24</v>
      </c>
      <c r="F38" s="23">
        <v>211000001</v>
      </c>
      <c r="G38" s="24" t="s">
        <v>53</v>
      </c>
      <c r="H38" s="23">
        <v>374000000</v>
      </c>
      <c r="I38" s="25">
        <v>0.28000000000000003</v>
      </c>
      <c r="K38" s="23">
        <v>169000001</v>
      </c>
      <c r="L38" s="24" t="s">
        <v>53</v>
      </c>
      <c r="M38" s="23">
        <v>221000000</v>
      </c>
      <c r="N38" s="25">
        <v>0.27</v>
      </c>
    </row>
    <row r="39" spans="1:18" x14ac:dyDescent="0.35">
      <c r="A39" s="23">
        <v>103000001</v>
      </c>
      <c r="B39" s="24" t="s">
        <v>53</v>
      </c>
      <c r="C39" s="23">
        <v>125000000</v>
      </c>
      <c r="D39" s="25">
        <v>0.25</v>
      </c>
      <c r="F39" s="23">
        <v>374000001</v>
      </c>
      <c r="G39" s="24" t="s">
        <v>53</v>
      </c>
      <c r="H39" s="23">
        <v>459000000</v>
      </c>
      <c r="I39" s="25">
        <v>0.28999999999999998</v>
      </c>
      <c r="K39" s="23">
        <v>221000001</v>
      </c>
      <c r="L39" s="24" t="s">
        <v>53</v>
      </c>
      <c r="M39" s="23">
        <v>390000000</v>
      </c>
      <c r="N39" s="25">
        <v>0.28000000000000003</v>
      </c>
    </row>
    <row r="40" spans="1:18" x14ac:dyDescent="0.35">
      <c r="A40" s="23">
        <v>125000001</v>
      </c>
      <c r="B40" s="24" t="s">
        <v>53</v>
      </c>
      <c r="C40" s="23">
        <v>157000000</v>
      </c>
      <c r="D40" s="25">
        <v>0.26</v>
      </c>
      <c r="F40" s="23">
        <v>459000001</v>
      </c>
      <c r="G40" s="24" t="s">
        <v>53</v>
      </c>
      <c r="H40" s="23">
        <v>555000000</v>
      </c>
      <c r="I40" s="25">
        <v>0.3</v>
      </c>
      <c r="K40" s="23">
        <v>390000001</v>
      </c>
      <c r="L40" s="24" t="s">
        <v>53</v>
      </c>
      <c r="M40" s="23">
        <v>463000000</v>
      </c>
      <c r="N40" s="25">
        <v>0.28999999999999998</v>
      </c>
    </row>
    <row r="41" spans="1:18" x14ac:dyDescent="0.35">
      <c r="A41" s="23">
        <v>157000001</v>
      </c>
      <c r="B41" s="24" t="s">
        <v>53</v>
      </c>
      <c r="C41" s="23">
        <v>206000000</v>
      </c>
      <c r="D41" s="25">
        <v>0.27</v>
      </c>
      <c r="F41" s="23">
        <v>555000001</v>
      </c>
      <c r="G41" s="24" t="s">
        <v>53</v>
      </c>
      <c r="H41" s="23">
        <v>704000000</v>
      </c>
      <c r="I41" s="25">
        <v>0.31</v>
      </c>
      <c r="K41" s="23">
        <v>463000001</v>
      </c>
      <c r="L41" s="24" t="s">
        <v>53</v>
      </c>
      <c r="M41" s="23">
        <v>561000000</v>
      </c>
      <c r="N41" s="25">
        <v>0.3</v>
      </c>
    </row>
    <row r="42" spans="1:18" x14ac:dyDescent="0.35">
      <c r="A42" s="23">
        <v>206000001</v>
      </c>
      <c r="B42" s="24" t="s">
        <v>53</v>
      </c>
      <c r="C42" s="23">
        <v>337000000</v>
      </c>
      <c r="D42" s="25">
        <v>0.28000000000000003</v>
      </c>
      <c r="F42" s="23">
        <v>704000001</v>
      </c>
      <c r="G42" s="24" t="s">
        <v>53</v>
      </c>
      <c r="H42" s="23">
        <v>957000000</v>
      </c>
      <c r="I42" s="25">
        <v>0.32</v>
      </c>
      <c r="K42" s="23">
        <v>561000001</v>
      </c>
      <c r="L42" s="24" t="s">
        <v>53</v>
      </c>
      <c r="M42" s="23">
        <v>709000000</v>
      </c>
      <c r="N42" s="25">
        <v>0.31</v>
      </c>
    </row>
    <row r="43" spans="1:18" x14ac:dyDescent="0.35">
      <c r="A43" s="23">
        <v>337000001</v>
      </c>
      <c r="B43" s="24" t="s">
        <v>53</v>
      </c>
      <c r="C43" s="23">
        <v>454000000</v>
      </c>
      <c r="D43" s="25">
        <v>0.28999999999999998</v>
      </c>
      <c r="F43" s="23">
        <v>957000001</v>
      </c>
      <c r="G43" s="24" t="s">
        <v>53</v>
      </c>
      <c r="H43" s="23">
        <v>1405000000</v>
      </c>
      <c r="I43" s="25">
        <v>0.33</v>
      </c>
      <c r="K43" s="23">
        <v>709000001</v>
      </c>
      <c r="L43" s="24" t="s">
        <v>53</v>
      </c>
      <c r="M43" s="23">
        <v>965000000</v>
      </c>
      <c r="N43" s="25">
        <v>0.32</v>
      </c>
    </row>
    <row r="44" spans="1:18" x14ac:dyDescent="0.35">
      <c r="A44" s="23">
        <v>454000001</v>
      </c>
      <c r="B44" s="24" t="s">
        <v>53</v>
      </c>
      <c r="C44" s="23">
        <v>550000000</v>
      </c>
      <c r="D44" s="25">
        <v>0.3</v>
      </c>
      <c r="F44" s="23">
        <v>1405000001</v>
      </c>
      <c r="G44" s="24" t="s">
        <v>53</v>
      </c>
      <c r="H44" s="27" t="s">
        <v>54</v>
      </c>
      <c r="I44" s="25">
        <v>0.34</v>
      </c>
      <c r="K44" s="23">
        <v>965000001</v>
      </c>
      <c r="L44" s="24" t="s">
        <v>53</v>
      </c>
      <c r="M44" s="23">
        <v>1419000000</v>
      </c>
      <c r="N44" s="25">
        <v>0.33</v>
      </c>
    </row>
    <row r="45" spans="1:18" x14ac:dyDescent="0.35">
      <c r="A45" s="23">
        <v>550000001</v>
      </c>
      <c r="B45" s="24" t="s">
        <v>53</v>
      </c>
      <c r="C45" s="23">
        <v>695000000</v>
      </c>
      <c r="D45" s="25">
        <v>0.31</v>
      </c>
      <c r="K45" s="23">
        <v>1419000001</v>
      </c>
      <c r="L45" s="24" t="s">
        <v>53</v>
      </c>
      <c r="M45" s="24" t="s">
        <v>54</v>
      </c>
      <c r="N45" s="25">
        <v>0.34</v>
      </c>
      <c r="R45" s="24"/>
    </row>
    <row r="46" spans="1:18" x14ac:dyDescent="0.35">
      <c r="A46" s="23">
        <v>695000001</v>
      </c>
      <c r="B46" s="24" t="s">
        <v>53</v>
      </c>
      <c r="C46" s="23">
        <v>910000000</v>
      </c>
      <c r="D46" s="25">
        <v>0.32</v>
      </c>
    </row>
    <row r="47" spans="1:18" x14ac:dyDescent="0.35">
      <c r="A47" s="23">
        <v>910000001</v>
      </c>
      <c r="B47" s="24" t="s">
        <v>53</v>
      </c>
      <c r="C47" s="23">
        <v>1400000000</v>
      </c>
      <c r="D47" s="25">
        <v>0.33</v>
      </c>
    </row>
    <row r="48" spans="1:18" x14ac:dyDescent="0.35">
      <c r="A48" s="23">
        <v>1400000001</v>
      </c>
      <c r="B48" s="24" t="s">
        <v>53</v>
      </c>
      <c r="C48" s="24" t="s">
        <v>54</v>
      </c>
      <c r="D48" s="25">
        <v>0.34</v>
      </c>
    </row>
    <row r="57" spans="1:3" x14ac:dyDescent="0.35">
      <c r="A57" s="23">
        <v>5300000</v>
      </c>
      <c r="C57" s="28">
        <f t="shared" ref="C57:C62" si="0">VLOOKUP(A57,$A$5:$D$48,4,TRUE)</f>
        <v>0</v>
      </c>
    </row>
    <row r="58" spans="1:3" x14ac:dyDescent="0.35">
      <c r="A58" s="23">
        <v>5600000</v>
      </c>
      <c r="C58" s="28">
        <f t="shared" si="0"/>
        <v>2.5000000000000001E-3</v>
      </c>
    </row>
    <row r="59" spans="1:3" x14ac:dyDescent="0.35">
      <c r="A59" s="23">
        <v>6000000</v>
      </c>
      <c r="C59" s="28">
        <f t="shared" si="0"/>
        <v>7.4999999999999997E-3</v>
      </c>
    </row>
    <row r="60" spans="1:3" x14ac:dyDescent="0.35">
      <c r="A60" s="23">
        <v>7500000</v>
      </c>
      <c r="C60" s="28">
        <f t="shared" si="0"/>
        <v>1.2500000000000001E-2</v>
      </c>
    </row>
    <row r="61" spans="1:3" x14ac:dyDescent="0.35">
      <c r="A61" s="23">
        <v>7200000</v>
      </c>
      <c r="C61" s="28">
        <f t="shared" si="0"/>
        <v>1.2500000000000001E-2</v>
      </c>
    </row>
    <row r="62" spans="1:3" x14ac:dyDescent="0.35">
      <c r="A62" s="23">
        <v>6500000</v>
      </c>
      <c r="C62" s="28">
        <f t="shared" si="0"/>
        <v>0.01</v>
      </c>
    </row>
  </sheetData>
  <mergeCells count="8">
    <mergeCell ref="A3:D3"/>
    <mergeCell ref="F3:I3"/>
    <mergeCell ref="K3:N3"/>
    <mergeCell ref="P3:S3"/>
    <mergeCell ref="A4:C4"/>
    <mergeCell ref="F4:H4"/>
    <mergeCell ref="K4:M4"/>
    <mergeCell ref="P4:R4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O48"/>
  <sheetViews>
    <sheetView zoomScale="90" zoomScaleNormal="90" workbookViewId="0">
      <pane xSplit="11" ySplit="5" topLeftCell="CN28" activePane="bottomRight" state="frozen"/>
      <selection pane="topRight" activeCell="N1" sqref="N1"/>
      <selection pane="bottomLeft" activeCell="A7" sqref="A7"/>
      <selection pane="bottomRight" activeCell="A2" sqref="A2"/>
    </sheetView>
  </sheetViews>
  <sheetFormatPr defaultColWidth="9.08984375" defaultRowHeight="14.5" x14ac:dyDescent="0.35"/>
  <cols>
    <col min="1" max="1" width="6" style="35" customWidth="1"/>
    <col min="2" max="2" width="12.08984375" style="35" customWidth="1"/>
    <col min="3" max="3" width="18.1796875" style="36" bestFit="1" customWidth="1"/>
    <col min="4" max="4" width="8.54296875" style="37" customWidth="1"/>
    <col min="5" max="5" width="17.90625" style="38" bestFit="1" customWidth="1"/>
    <col min="6" max="6" width="6.36328125" style="35" customWidth="1"/>
    <col min="7" max="7" width="24.36328125" style="35" bestFit="1" customWidth="1"/>
    <col min="8" max="8" width="6.6328125" style="35" customWidth="1"/>
    <col min="9" max="9" width="9.6328125" style="35" bestFit="1" customWidth="1"/>
    <col min="10" max="10" width="9.453125" style="35" bestFit="1" customWidth="1"/>
    <col min="11" max="11" width="7.6328125" style="35" bestFit="1" customWidth="1"/>
    <col min="12" max="12" width="7.54296875" style="40" customWidth="1"/>
    <col min="13" max="13" width="9.54296875" style="35" hidden="1" customWidth="1"/>
    <col min="14" max="14" width="11.1796875" style="35" bestFit="1" customWidth="1"/>
    <col min="15" max="15" width="9.6328125" style="35" bestFit="1" customWidth="1"/>
    <col min="16" max="16" width="13.54296875" style="35" bestFit="1" customWidth="1"/>
    <col min="17" max="17" width="13.90625" style="35" bestFit="1" customWidth="1"/>
    <col min="18" max="18" width="13.54296875" style="35" bestFit="1" customWidth="1"/>
    <col min="19" max="19" width="12.54296875" style="35" bestFit="1" customWidth="1"/>
    <col min="20" max="21" width="10.08984375" style="35" bestFit="1" customWidth="1"/>
    <col min="22" max="22" width="11.08984375" style="35" bestFit="1" customWidth="1"/>
    <col min="23" max="24" width="9.6328125" style="35" bestFit="1" customWidth="1"/>
    <col min="25" max="26" width="11.36328125" style="35" bestFit="1" customWidth="1"/>
    <col min="27" max="30" width="11.08984375" style="35" bestFit="1" customWidth="1"/>
    <col min="31" max="31" width="27.54296875" style="35" bestFit="1" customWidth="1"/>
    <col min="32" max="32" width="22.08984375" style="35" bestFit="1" customWidth="1"/>
    <col min="33" max="33" width="14.08984375" style="35" bestFit="1" customWidth="1"/>
    <col min="34" max="34" width="10.08984375" style="35" bestFit="1" customWidth="1"/>
    <col min="35" max="35" width="12.08984375" style="35" bestFit="1" customWidth="1"/>
    <col min="36" max="36" width="9.08984375" style="35"/>
    <col min="37" max="37" width="20.36328125" style="35" bestFit="1" customWidth="1"/>
    <col min="38" max="38" width="13.54296875" style="35" bestFit="1" customWidth="1"/>
    <col min="39" max="39" width="1.90625" style="35" customWidth="1"/>
    <col min="40" max="40" width="11.1796875" style="35" bestFit="1" customWidth="1"/>
    <col min="41" max="41" width="9.08984375" style="35" customWidth="1"/>
    <col min="42" max="42" width="13.54296875" style="35" bestFit="1" customWidth="1"/>
    <col min="43" max="43" width="11.08984375" style="35" customWidth="1"/>
    <col min="44" max="44" width="13.54296875" style="35" bestFit="1" customWidth="1"/>
    <col min="45" max="45" width="12.54296875" style="35" customWidth="1"/>
    <col min="46" max="47" width="9.08984375" style="35" customWidth="1"/>
    <col min="48" max="48" width="11.36328125" style="35" bestFit="1" customWidth="1"/>
    <col min="49" max="50" width="9.08984375" style="35" customWidth="1"/>
    <col min="51" max="52" width="10.08984375" style="35" customWidth="1"/>
    <col min="53" max="56" width="11.36328125" style="35" bestFit="1" customWidth="1"/>
    <col min="57" max="57" width="27" style="35" bestFit="1" customWidth="1"/>
    <col min="58" max="58" width="21.453125" style="35" bestFit="1" customWidth="1"/>
    <col min="59" max="59" width="14.08984375" style="35" bestFit="1" customWidth="1"/>
    <col min="60" max="60" width="9.08984375" style="35" customWidth="1"/>
    <col min="61" max="61" width="12.08984375" style="35" customWidth="1"/>
    <col min="62" max="62" width="9.08984375" style="35" customWidth="1"/>
    <col min="63" max="63" width="20.36328125" style="35" bestFit="1" customWidth="1"/>
    <col min="64" max="64" width="13.54296875" style="35" bestFit="1" customWidth="1"/>
    <col min="65" max="65" width="2.54296875" style="35" customWidth="1"/>
    <col min="66" max="66" width="13.36328125" style="35" customWidth="1"/>
    <col min="67" max="67" width="9.08984375" style="35" customWidth="1"/>
    <col min="68" max="70" width="13.54296875" style="35" bestFit="1" customWidth="1"/>
    <col min="71" max="71" width="12.54296875" style="35" customWidth="1"/>
    <col min="72" max="73" width="9.08984375" style="35" customWidth="1"/>
    <col min="74" max="74" width="11.36328125" style="35" bestFit="1" customWidth="1"/>
    <col min="75" max="76" width="9.6328125" style="35" bestFit="1" customWidth="1"/>
    <col min="77" max="82" width="11.36328125" style="35" bestFit="1" customWidth="1"/>
    <col min="83" max="83" width="27" style="35" bestFit="1" customWidth="1"/>
    <col min="84" max="84" width="21.453125" style="35" bestFit="1" customWidth="1"/>
    <col min="85" max="85" width="14.08984375" style="35" bestFit="1" customWidth="1"/>
    <col min="86" max="86" width="9.08984375" style="35" customWidth="1"/>
    <col min="87" max="87" width="12.08984375" style="35" customWidth="1"/>
    <col min="88" max="88" width="13.54296875" style="35" bestFit="1" customWidth="1"/>
    <col min="89" max="89" width="14" style="35" customWidth="1"/>
    <col min="90" max="90" width="13.453125" style="35" customWidth="1"/>
    <col min="91" max="91" width="9.08984375" style="35" customWidth="1"/>
    <col min="92" max="92" width="9.90625" style="35" customWidth="1"/>
    <col min="93" max="93" width="9.08984375" style="35" customWidth="1"/>
    <col min="94" max="94" width="12.08984375" style="35" customWidth="1"/>
    <col min="95" max="95" width="11.08984375" style="35" customWidth="1"/>
    <col min="96" max="96" width="12.08984375" style="35" customWidth="1"/>
    <col min="97" max="97" width="12.54296875" style="35" customWidth="1"/>
    <col min="98" max="99" width="9.08984375" style="35" customWidth="1"/>
    <col min="100" max="100" width="10.08984375" style="35" customWidth="1"/>
    <col min="101" max="102" width="9.08984375" style="35" customWidth="1"/>
    <col min="103" max="104" width="10.08984375" style="35" customWidth="1"/>
    <col min="105" max="105" width="9.08984375" style="35" customWidth="1"/>
    <col min="106" max="106" width="10.08984375" style="35" customWidth="1"/>
    <col min="107" max="107" width="9.08984375" style="35" customWidth="1"/>
    <col min="108" max="108" width="10.08984375" style="35" customWidth="1"/>
    <col min="109" max="109" width="11.08984375" style="35" customWidth="1"/>
    <col min="110" max="110" width="10.90625" style="35" customWidth="1"/>
    <col min="111" max="111" width="13.08984375" style="35" customWidth="1"/>
    <col min="112" max="112" width="9.08984375" style="35" customWidth="1"/>
    <col min="113" max="113" width="12.08984375" style="35" customWidth="1"/>
    <col min="114" max="114" width="9.08984375" style="35" customWidth="1"/>
    <col min="115" max="115" width="14" style="35" customWidth="1"/>
    <col min="116" max="116" width="12.08984375" style="35" customWidth="1"/>
    <col min="117" max="117" width="9.08984375" style="35" customWidth="1"/>
    <col min="118" max="118" width="9.90625" style="35" customWidth="1"/>
    <col min="119" max="119" width="9.08984375" style="35" customWidth="1"/>
    <col min="120" max="120" width="12.08984375" style="35" customWidth="1"/>
    <col min="121" max="121" width="11.08984375" style="35" customWidth="1"/>
    <col min="122" max="122" width="12.08984375" style="35" customWidth="1"/>
    <col min="123" max="123" width="12.54296875" style="35" customWidth="1"/>
    <col min="124" max="125" width="9.08984375" style="35" customWidth="1"/>
    <col min="126" max="126" width="10.08984375" style="35" customWidth="1"/>
    <col min="127" max="128" width="9.08984375" style="35" customWidth="1"/>
    <col min="129" max="130" width="10.08984375" style="35" customWidth="1"/>
    <col min="131" max="131" width="9.08984375" style="35" customWidth="1"/>
    <col min="132" max="132" width="10.08984375" style="35" customWidth="1"/>
    <col min="133" max="133" width="9.08984375" style="35" customWidth="1"/>
    <col min="134" max="134" width="10.08984375" style="35" customWidth="1"/>
    <col min="135" max="135" width="11.08984375" style="35" customWidth="1"/>
    <col min="136" max="136" width="10.90625" style="35" customWidth="1"/>
    <col min="137" max="137" width="13.08984375" style="35" customWidth="1"/>
    <col min="138" max="138" width="9.08984375" style="35" customWidth="1"/>
    <col min="139" max="139" width="12.08984375" style="35" customWidth="1"/>
    <col min="140" max="140" width="9.08984375" style="35" customWidth="1"/>
    <col min="141" max="141" width="14" style="35" customWidth="1"/>
    <col min="142" max="142" width="12.08984375" style="35" customWidth="1"/>
    <col min="143" max="143" width="9.08984375" style="35" customWidth="1"/>
    <col min="144" max="144" width="9.90625" style="35" customWidth="1"/>
    <col min="145" max="145" width="9.08984375" style="35" customWidth="1"/>
    <col min="146" max="146" width="12.08984375" style="35" customWidth="1"/>
    <col min="147" max="147" width="9.08984375" style="35" customWidth="1"/>
    <col min="148" max="148" width="12.08984375" style="35" customWidth="1"/>
    <col min="149" max="149" width="12.54296875" style="35" customWidth="1"/>
    <col min="150" max="151" width="9.08984375" style="35" customWidth="1"/>
    <col min="152" max="152" width="10.08984375" style="35" customWidth="1"/>
    <col min="153" max="154" width="9.08984375" style="35" customWidth="1"/>
    <col min="155" max="156" width="10.08984375" style="35" customWidth="1"/>
    <col min="157" max="157" width="9.08984375" style="35" customWidth="1"/>
    <col min="158" max="158" width="10.08984375" style="35" customWidth="1"/>
    <col min="159" max="159" width="9.08984375" style="35" customWidth="1"/>
    <col min="160" max="160" width="10.08984375" style="35" customWidth="1"/>
    <col min="161" max="161" width="11.08984375" style="35" customWidth="1"/>
    <col min="162" max="162" width="10.90625" style="35" customWidth="1"/>
    <col min="163" max="163" width="13.08984375" style="35" customWidth="1"/>
    <col min="164" max="164" width="9.08984375" style="35" customWidth="1"/>
    <col min="165" max="165" width="12.08984375" style="35" customWidth="1"/>
    <col min="166" max="166" width="9.08984375" style="35" customWidth="1"/>
    <col min="167" max="167" width="14" style="35" customWidth="1"/>
    <col min="168" max="168" width="12.08984375" style="35" customWidth="1"/>
    <col min="169" max="169" width="9.08984375" style="35" customWidth="1"/>
    <col min="170" max="170" width="9.90625" style="35" customWidth="1"/>
    <col min="171" max="171" width="9.08984375" style="35" customWidth="1"/>
    <col min="172" max="172" width="12.08984375" style="35" customWidth="1"/>
    <col min="173" max="173" width="11.08984375" style="35" customWidth="1"/>
    <col min="174" max="174" width="12.08984375" style="35" customWidth="1"/>
    <col min="175" max="175" width="12.54296875" style="35" customWidth="1"/>
    <col min="176" max="177" width="9.08984375" style="35" customWidth="1"/>
    <col min="178" max="178" width="10.08984375" style="35" customWidth="1"/>
    <col min="179" max="180" width="9.08984375" style="35" customWidth="1"/>
    <col min="181" max="182" width="10.08984375" style="35" customWidth="1"/>
    <col min="183" max="183" width="9.08984375" style="35" customWidth="1"/>
    <col min="184" max="184" width="10.08984375" style="35" customWidth="1"/>
    <col min="185" max="185" width="9.08984375" style="35" customWidth="1"/>
    <col min="186" max="186" width="10.08984375" style="35" customWidth="1"/>
    <col min="187" max="187" width="11.08984375" style="35" customWidth="1"/>
    <col min="188" max="188" width="10.90625" style="35" customWidth="1"/>
    <col min="189" max="189" width="13.08984375" style="35" customWidth="1"/>
    <col min="190" max="190" width="9.08984375" style="35" customWidth="1"/>
    <col min="191" max="191" width="12.08984375" style="35" customWidth="1"/>
    <col min="192" max="192" width="9.08984375" style="35" customWidth="1"/>
    <col min="193" max="193" width="14" style="35" customWidth="1"/>
    <col min="194" max="194" width="12.08984375" style="35" customWidth="1"/>
    <col min="195" max="195" width="9.08984375" style="35" customWidth="1"/>
    <col min="196" max="196" width="9.90625" style="35" customWidth="1"/>
    <col min="197" max="197" width="9.08984375" style="35" customWidth="1"/>
    <col min="198" max="198" width="12.08984375" style="35" customWidth="1"/>
    <col min="199" max="199" width="11.08984375" style="35" customWidth="1"/>
    <col min="200" max="200" width="12.08984375" style="35" customWidth="1"/>
    <col min="201" max="201" width="12.54296875" style="35" customWidth="1"/>
    <col min="202" max="203" width="9.08984375" style="35" customWidth="1"/>
    <col min="204" max="204" width="10.08984375" style="35" customWidth="1"/>
    <col min="205" max="206" width="9.08984375" style="35" customWidth="1"/>
    <col min="207" max="208" width="10.08984375" style="35" customWidth="1"/>
    <col min="209" max="209" width="9.08984375" style="35" customWidth="1"/>
    <col min="210" max="210" width="10.08984375" style="35" customWidth="1"/>
    <col min="211" max="211" width="9.08984375" style="35" customWidth="1"/>
    <col min="212" max="212" width="10.08984375" style="35" customWidth="1"/>
    <col min="213" max="213" width="11.08984375" style="35" customWidth="1"/>
    <col min="214" max="214" width="10.90625" style="35" customWidth="1"/>
    <col min="215" max="215" width="13.08984375" style="35" customWidth="1"/>
    <col min="216" max="216" width="9.08984375" style="35" customWidth="1"/>
    <col min="217" max="217" width="12.08984375" style="35" customWidth="1"/>
    <col min="218" max="218" width="9.08984375" style="35" customWidth="1"/>
    <col min="219" max="219" width="14" style="35" customWidth="1"/>
    <col min="220" max="220" width="12.08984375" style="35" customWidth="1"/>
    <col min="221" max="221" width="9.08984375" style="35" customWidth="1"/>
    <col min="222" max="222" width="9.90625" style="35" customWidth="1"/>
    <col min="223" max="223" width="9.08984375" style="35" customWidth="1"/>
    <col min="224" max="224" width="12.08984375" style="35" customWidth="1"/>
    <col min="225" max="225" width="11.08984375" style="35" customWidth="1"/>
    <col min="226" max="226" width="12.08984375" style="35" customWidth="1"/>
    <col min="227" max="227" width="12.54296875" style="35" customWidth="1"/>
    <col min="228" max="229" width="9.08984375" style="35" customWidth="1"/>
    <col min="230" max="230" width="10.08984375" style="35" customWidth="1"/>
    <col min="231" max="232" width="9.08984375" style="35" customWidth="1"/>
    <col min="233" max="234" width="10.08984375" style="35" customWidth="1"/>
    <col min="235" max="235" width="9.08984375" style="35" customWidth="1"/>
    <col min="236" max="236" width="10.08984375" style="35" customWidth="1"/>
    <col min="237" max="237" width="9.08984375" style="35" customWidth="1"/>
    <col min="238" max="238" width="10.08984375" style="35" customWidth="1"/>
    <col min="239" max="239" width="11.08984375" style="35" customWidth="1"/>
    <col min="240" max="240" width="10.90625" style="35" customWidth="1"/>
    <col min="241" max="241" width="13.08984375" style="35" customWidth="1"/>
    <col min="242" max="242" width="9.08984375" style="35" customWidth="1"/>
    <col min="243" max="243" width="12.08984375" style="35" customWidth="1"/>
    <col min="244" max="244" width="9.08984375" style="35" customWidth="1"/>
    <col min="245" max="245" width="14" style="35" customWidth="1"/>
    <col min="246" max="246" width="12.08984375" style="35" customWidth="1"/>
    <col min="247" max="247" width="9.08984375" style="35" customWidth="1"/>
    <col min="248" max="248" width="9.90625" style="35" customWidth="1"/>
    <col min="249" max="249" width="9.08984375" style="35" customWidth="1"/>
    <col min="250" max="250" width="12.08984375" style="35" customWidth="1"/>
    <col min="251" max="251" width="9.08984375" style="35" customWidth="1"/>
    <col min="252" max="252" width="12.08984375" style="35" customWidth="1"/>
    <col min="253" max="253" width="12.54296875" style="35" customWidth="1"/>
    <col min="254" max="255" width="9.08984375" style="35" customWidth="1"/>
    <col min="256" max="256" width="10.08984375" style="35" customWidth="1"/>
    <col min="257" max="258" width="9.08984375" style="35" customWidth="1"/>
    <col min="259" max="260" width="10.08984375" style="35" customWidth="1"/>
    <col min="261" max="261" width="9.08984375" style="35" customWidth="1"/>
    <col min="262" max="262" width="10.08984375" style="35" customWidth="1"/>
    <col min="263" max="263" width="9.08984375" style="35" customWidth="1"/>
    <col min="264" max="264" width="10.08984375" style="35" customWidth="1"/>
    <col min="265" max="265" width="11.08984375" style="35" customWidth="1"/>
    <col min="266" max="266" width="10.90625" style="35" customWidth="1"/>
    <col min="267" max="267" width="13.08984375" style="35" customWidth="1"/>
    <col min="268" max="268" width="9.08984375" style="35" customWidth="1"/>
    <col min="269" max="269" width="12.08984375" style="35" customWidth="1"/>
    <col min="270" max="270" width="9.08984375" style="35" customWidth="1"/>
    <col min="271" max="271" width="14" style="35" customWidth="1"/>
    <col min="272" max="272" width="12.08984375" style="35" customWidth="1"/>
    <col min="273" max="273" width="3.54296875" style="35" customWidth="1"/>
    <col min="274" max="274" width="9.90625" style="35" customWidth="1"/>
    <col min="275" max="275" width="9.08984375" style="35" customWidth="1"/>
    <col min="276" max="276" width="12.08984375" style="35" customWidth="1"/>
    <col min="277" max="277" width="9.08984375" style="35" customWidth="1"/>
    <col min="278" max="278" width="12.08984375" style="35" customWidth="1"/>
    <col min="279" max="279" width="12.54296875" style="35" customWidth="1"/>
    <col min="280" max="281" width="9.08984375" style="35" customWidth="1"/>
    <col min="282" max="282" width="10.08984375" style="35" customWidth="1"/>
    <col min="283" max="284" width="9.08984375" style="35" customWidth="1"/>
    <col min="285" max="286" width="10.08984375" style="35" customWidth="1"/>
    <col min="287" max="287" width="9.08984375" style="35" customWidth="1"/>
    <col min="288" max="288" width="10.08984375" style="35" customWidth="1"/>
    <col min="289" max="289" width="9.08984375" style="35" customWidth="1"/>
    <col min="290" max="290" width="10.08984375" style="35" customWidth="1"/>
    <col min="291" max="291" width="11.08984375" style="35" customWidth="1"/>
    <col min="292" max="292" width="10.90625" style="35" customWidth="1"/>
    <col min="293" max="293" width="13.08984375" style="35" customWidth="1"/>
    <col min="294" max="294" width="9.08984375" style="35" customWidth="1"/>
    <col min="295" max="295" width="12.08984375" style="35" customWidth="1"/>
    <col min="296" max="296" width="9.08984375" style="35" customWidth="1"/>
    <col min="297" max="297" width="14" style="35" customWidth="1"/>
    <col min="298" max="298" width="12.08984375" style="35" customWidth="1"/>
    <col min="299" max="299" width="9.08984375" style="35" customWidth="1"/>
    <col min="300" max="300" width="9.90625" style="35" customWidth="1"/>
    <col min="301" max="301" width="9.08984375" style="35" customWidth="1"/>
    <col min="302" max="302" width="12.08984375" style="35" customWidth="1"/>
    <col min="303" max="303" width="11.08984375" style="35" customWidth="1"/>
    <col min="304" max="304" width="12.08984375" style="35" customWidth="1"/>
    <col min="305" max="305" width="12.54296875" style="35" customWidth="1"/>
    <col min="306" max="307" width="9.08984375" style="35" customWidth="1"/>
    <col min="308" max="308" width="10.08984375" style="35" customWidth="1"/>
    <col min="309" max="310" width="9.08984375" style="35" customWidth="1"/>
    <col min="311" max="312" width="10.08984375" style="35" customWidth="1"/>
    <col min="313" max="313" width="9.08984375" style="35" customWidth="1"/>
    <col min="314" max="314" width="10.08984375" style="35" customWidth="1"/>
    <col min="315" max="315" width="9.08984375" style="35" customWidth="1"/>
    <col min="316" max="316" width="10.08984375" style="35" customWidth="1"/>
    <col min="317" max="317" width="11.08984375" style="35" customWidth="1"/>
    <col min="318" max="318" width="10.90625" style="35" customWidth="1"/>
    <col min="319" max="319" width="13.08984375" style="35" customWidth="1"/>
    <col min="320" max="320" width="9.08984375" style="35" customWidth="1"/>
    <col min="321" max="321" width="12.08984375" style="35" customWidth="1"/>
    <col min="322" max="322" width="9.08984375" style="35" customWidth="1"/>
    <col min="323" max="323" width="14" style="35" customWidth="1"/>
    <col min="324" max="324" width="12.08984375" style="35" customWidth="1"/>
    <col min="325" max="326" width="9.08984375" style="35"/>
    <col min="327" max="327" width="0" style="35" hidden="1" customWidth="1"/>
    <col min="328" max="16384" width="9.08984375" style="35"/>
  </cols>
  <sheetData>
    <row r="1" spans="1:327" customFormat="1" x14ac:dyDescent="0.35">
      <c r="A1" s="30" t="s">
        <v>226</v>
      </c>
      <c r="C1" s="31"/>
      <c r="D1" s="32"/>
      <c r="E1" s="33"/>
      <c r="L1" s="8"/>
    </row>
    <row r="2" spans="1:327" customFormat="1" ht="15" thickBot="1" x14ac:dyDescent="0.4">
      <c r="A2" s="65" t="s">
        <v>38</v>
      </c>
      <c r="C2" s="31"/>
      <c r="D2" s="32"/>
      <c r="E2" s="33"/>
      <c r="L2" s="8"/>
    </row>
    <row r="3" spans="1:327" customFormat="1" ht="15.5" thickTop="1" thickBot="1" x14ac:dyDescent="0.4">
      <c r="A3" s="30" t="s">
        <v>221</v>
      </c>
      <c r="C3" s="31"/>
      <c r="D3" s="32"/>
      <c r="E3" s="33"/>
      <c r="L3" s="8"/>
      <c r="N3" s="295" t="s">
        <v>64</v>
      </c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7"/>
      <c r="AN3" s="319" t="s">
        <v>65</v>
      </c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6"/>
      <c r="BB3" s="296"/>
      <c r="BC3" s="296"/>
      <c r="BD3" s="296"/>
      <c r="BE3" s="296"/>
      <c r="BF3" s="296"/>
      <c r="BG3" s="296"/>
      <c r="BH3" s="296"/>
      <c r="BI3" s="296"/>
      <c r="BJ3" s="296"/>
      <c r="BK3" s="296"/>
      <c r="BL3" s="297"/>
      <c r="BN3" s="319" t="s">
        <v>66</v>
      </c>
      <c r="BO3" s="296"/>
      <c r="BP3" s="296"/>
      <c r="BQ3" s="296"/>
      <c r="BR3" s="296"/>
      <c r="BS3" s="296"/>
      <c r="BT3" s="296"/>
      <c r="BU3" s="296"/>
      <c r="BV3" s="296"/>
      <c r="BW3" s="296"/>
      <c r="BX3" s="296"/>
      <c r="BY3" s="296"/>
      <c r="BZ3" s="296"/>
      <c r="CA3" s="296"/>
      <c r="CB3" s="296"/>
      <c r="CC3" s="296"/>
      <c r="CD3" s="296"/>
      <c r="CE3" s="296"/>
      <c r="CF3" s="296"/>
      <c r="CG3" s="296"/>
      <c r="CH3" s="296"/>
      <c r="CI3" s="296"/>
      <c r="CJ3" s="296"/>
      <c r="CK3" s="296"/>
      <c r="CL3" s="297"/>
      <c r="CN3" s="319" t="s">
        <v>67</v>
      </c>
      <c r="CO3" s="296"/>
      <c r="CP3" s="296"/>
      <c r="CQ3" s="296"/>
      <c r="CR3" s="296"/>
      <c r="CS3" s="296"/>
      <c r="CT3" s="296"/>
      <c r="CU3" s="296"/>
      <c r="CV3" s="296"/>
      <c r="CW3" s="296"/>
      <c r="CX3" s="296"/>
      <c r="CY3" s="296"/>
      <c r="CZ3" s="296"/>
      <c r="DA3" s="296"/>
      <c r="DB3" s="296"/>
      <c r="DC3" s="296"/>
      <c r="DD3" s="296"/>
      <c r="DE3" s="296"/>
      <c r="DF3" s="296"/>
      <c r="DG3" s="296"/>
      <c r="DH3" s="296"/>
      <c r="DI3" s="296"/>
      <c r="DJ3" s="296"/>
      <c r="DK3" s="296"/>
      <c r="DL3" s="297"/>
      <c r="DN3" s="319" t="s">
        <v>68</v>
      </c>
      <c r="DO3" s="296"/>
      <c r="DP3" s="296"/>
      <c r="DQ3" s="296"/>
      <c r="DR3" s="296"/>
      <c r="DS3" s="296"/>
      <c r="DT3" s="296"/>
      <c r="DU3" s="296"/>
      <c r="DV3" s="296"/>
      <c r="DW3" s="296"/>
      <c r="DX3" s="296"/>
      <c r="DY3" s="296"/>
      <c r="DZ3" s="296"/>
      <c r="EA3" s="296"/>
      <c r="EB3" s="296"/>
      <c r="EC3" s="296"/>
      <c r="ED3" s="296"/>
      <c r="EE3" s="296"/>
      <c r="EF3" s="296"/>
      <c r="EG3" s="296"/>
      <c r="EH3" s="296"/>
      <c r="EI3" s="296"/>
      <c r="EJ3" s="296"/>
      <c r="EK3" s="296"/>
      <c r="EL3" s="297"/>
      <c r="EN3" s="319" t="s">
        <v>69</v>
      </c>
      <c r="EO3" s="296"/>
      <c r="EP3" s="296"/>
      <c r="EQ3" s="296"/>
      <c r="ER3" s="296"/>
      <c r="ES3" s="296"/>
      <c r="ET3" s="296"/>
      <c r="EU3" s="296"/>
      <c r="EV3" s="296"/>
      <c r="EW3" s="296"/>
      <c r="EX3" s="296"/>
      <c r="EY3" s="296"/>
      <c r="EZ3" s="296"/>
      <c r="FA3" s="296"/>
      <c r="FB3" s="296"/>
      <c r="FC3" s="296"/>
      <c r="FD3" s="296"/>
      <c r="FE3" s="296"/>
      <c r="FF3" s="296"/>
      <c r="FG3" s="296"/>
      <c r="FH3" s="296"/>
      <c r="FI3" s="296"/>
      <c r="FJ3" s="296"/>
      <c r="FK3" s="296"/>
      <c r="FL3" s="297"/>
      <c r="FN3" s="319" t="s">
        <v>70</v>
      </c>
      <c r="FO3" s="296"/>
      <c r="FP3" s="296"/>
      <c r="FQ3" s="296"/>
      <c r="FR3" s="296"/>
      <c r="FS3" s="296"/>
      <c r="FT3" s="296"/>
      <c r="FU3" s="296"/>
      <c r="FV3" s="296"/>
      <c r="FW3" s="296"/>
      <c r="FX3" s="296"/>
      <c r="FY3" s="296"/>
      <c r="FZ3" s="296"/>
      <c r="GA3" s="296"/>
      <c r="GB3" s="296"/>
      <c r="GC3" s="296"/>
      <c r="GD3" s="296"/>
      <c r="GE3" s="296"/>
      <c r="GF3" s="296"/>
      <c r="GG3" s="296"/>
      <c r="GH3" s="296"/>
      <c r="GI3" s="296"/>
      <c r="GJ3" s="296"/>
      <c r="GK3" s="296"/>
      <c r="GL3" s="297"/>
      <c r="GN3" s="319" t="s">
        <v>71</v>
      </c>
      <c r="GO3" s="296"/>
      <c r="GP3" s="296"/>
      <c r="GQ3" s="296"/>
      <c r="GR3" s="296"/>
      <c r="GS3" s="296"/>
      <c r="GT3" s="296"/>
      <c r="GU3" s="296"/>
      <c r="GV3" s="296"/>
      <c r="GW3" s="296"/>
      <c r="GX3" s="296"/>
      <c r="GY3" s="296"/>
      <c r="GZ3" s="296"/>
      <c r="HA3" s="296"/>
      <c r="HB3" s="296"/>
      <c r="HC3" s="296"/>
      <c r="HD3" s="296"/>
      <c r="HE3" s="296"/>
      <c r="HF3" s="296"/>
      <c r="HG3" s="296"/>
      <c r="HH3" s="296"/>
      <c r="HI3" s="296"/>
      <c r="HJ3" s="296"/>
      <c r="HK3" s="296"/>
      <c r="HL3" s="297"/>
      <c r="HN3" s="319" t="s">
        <v>72</v>
      </c>
      <c r="HO3" s="296"/>
      <c r="HP3" s="296"/>
      <c r="HQ3" s="296"/>
      <c r="HR3" s="296"/>
      <c r="HS3" s="296"/>
      <c r="HT3" s="296"/>
      <c r="HU3" s="296"/>
      <c r="HV3" s="296"/>
      <c r="HW3" s="296"/>
      <c r="HX3" s="296"/>
      <c r="HY3" s="296"/>
      <c r="HZ3" s="296"/>
      <c r="IA3" s="296"/>
      <c r="IB3" s="296"/>
      <c r="IC3" s="296"/>
      <c r="ID3" s="296"/>
      <c r="IE3" s="296"/>
      <c r="IF3" s="296"/>
      <c r="IG3" s="296"/>
      <c r="IH3" s="296"/>
      <c r="II3" s="296"/>
      <c r="IJ3" s="296"/>
      <c r="IK3" s="296"/>
      <c r="IL3" s="297"/>
      <c r="IN3" s="319" t="s">
        <v>73</v>
      </c>
      <c r="IO3" s="296"/>
      <c r="IP3" s="296"/>
      <c r="IQ3" s="296"/>
      <c r="IR3" s="296"/>
      <c r="IS3" s="296"/>
      <c r="IT3" s="296"/>
      <c r="IU3" s="296"/>
      <c r="IV3" s="296"/>
      <c r="IW3" s="296"/>
      <c r="IX3" s="296"/>
      <c r="IY3" s="296"/>
      <c r="IZ3" s="296"/>
      <c r="JA3" s="296"/>
      <c r="JB3" s="296"/>
      <c r="JC3" s="296"/>
      <c r="JD3" s="296"/>
      <c r="JE3" s="296"/>
      <c r="JF3" s="296"/>
      <c r="JG3" s="296"/>
      <c r="JH3" s="296"/>
      <c r="JI3" s="296"/>
      <c r="JJ3" s="296"/>
      <c r="JK3" s="296"/>
      <c r="JL3" s="297"/>
      <c r="JN3" s="319" t="s">
        <v>74</v>
      </c>
      <c r="JO3" s="296"/>
      <c r="JP3" s="296"/>
      <c r="JQ3" s="296"/>
      <c r="JR3" s="296"/>
      <c r="JS3" s="296"/>
      <c r="JT3" s="296"/>
      <c r="JU3" s="296"/>
      <c r="JV3" s="296"/>
      <c r="JW3" s="296"/>
      <c r="JX3" s="296"/>
      <c r="JY3" s="296"/>
      <c r="JZ3" s="296"/>
      <c r="KA3" s="296"/>
      <c r="KB3" s="296"/>
      <c r="KC3" s="296"/>
      <c r="KD3" s="296"/>
      <c r="KE3" s="296"/>
      <c r="KF3" s="296"/>
      <c r="KG3" s="296"/>
      <c r="KH3" s="296"/>
      <c r="KI3" s="296"/>
      <c r="KJ3" s="296"/>
      <c r="KK3" s="296"/>
      <c r="KL3" s="297"/>
      <c r="KN3" s="295" t="s">
        <v>75</v>
      </c>
      <c r="KO3" s="296"/>
      <c r="KP3" s="296"/>
      <c r="KQ3" s="296"/>
      <c r="KR3" s="296"/>
      <c r="KS3" s="296"/>
      <c r="KT3" s="296"/>
      <c r="KU3" s="296"/>
      <c r="KV3" s="296"/>
      <c r="KW3" s="296"/>
      <c r="KX3" s="296"/>
      <c r="KY3" s="296"/>
      <c r="KZ3" s="296"/>
      <c r="LA3" s="296"/>
      <c r="LB3" s="296"/>
      <c r="LC3" s="296"/>
      <c r="LD3" s="296"/>
      <c r="LE3" s="296"/>
      <c r="LF3" s="296"/>
      <c r="LG3" s="296"/>
      <c r="LH3" s="296"/>
      <c r="LI3" s="296"/>
      <c r="LJ3" s="296"/>
      <c r="LK3" s="296"/>
      <c r="LL3" s="297"/>
    </row>
    <row r="4" spans="1:327" s="32" customFormat="1" ht="33.75" customHeight="1" thickTop="1" x14ac:dyDescent="0.35">
      <c r="A4" s="326" t="s">
        <v>0</v>
      </c>
      <c r="B4" s="320" t="s">
        <v>24</v>
      </c>
      <c r="C4" s="332" t="s">
        <v>25</v>
      </c>
      <c r="D4" s="320" t="s">
        <v>27</v>
      </c>
      <c r="E4" s="328" t="s">
        <v>1</v>
      </c>
      <c r="F4" s="329"/>
      <c r="G4" s="320" t="s">
        <v>2</v>
      </c>
      <c r="H4" s="320" t="s">
        <v>37</v>
      </c>
      <c r="I4" s="320" t="s">
        <v>26</v>
      </c>
      <c r="J4" s="320" t="s">
        <v>3</v>
      </c>
      <c r="K4" s="320" t="s">
        <v>4</v>
      </c>
      <c r="L4" s="324" t="s">
        <v>42</v>
      </c>
      <c r="M4" s="322" t="s">
        <v>90</v>
      </c>
      <c r="N4" s="298" t="s">
        <v>9</v>
      </c>
      <c r="O4" s="299"/>
      <c r="P4" s="300"/>
      <c r="Q4" s="301" t="s">
        <v>217</v>
      </c>
      <c r="R4" s="301" t="s">
        <v>9</v>
      </c>
      <c r="S4" s="303" t="s">
        <v>97</v>
      </c>
      <c r="T4" s="304"/>
      <c r="U4" s="304"/>
      <c r="V4" s="305"/>
      <c r="W4" s="303" t="s">
        <v>124</v>
      </c>
      <c r="X4" s="305"/>
      <c r="Y4" s="306" t="s">
        <v>122</v>
      </c>
      <c r="Z4" s="307"/>
      <c r="AA4" s="306" t="s">
        <v>127</v>
      </c>
      <c r="AB4" s="308"/>
      <c r="AC4" s="306" t="s">
        <v>123</v>
      </c>
      <c r="AD4" s="307"/>
      <c r="AE4" s="309" t="s">
        <v>128</v>
      </c>
      <c r="AF4" s="309" t="s">
        <v>129</v>
      </c>
      <c r="AG4" s="312" t="s">
        <v>8</v>
      </c>
      <c r="AH4" s="314" t="s">
        <v>21</v>
      </c>
      <c r="AI4" s="315"/>
      <c r="AJ4" s="316"/>
      <c r="AK4" s="312" t="s">
        <v>23</v>
      </c>
      <c r="AL4" s="317" t="s">
        <v>98</v>
      </c>
      <c r="AN4" s="298" t="s">
        <v>9</v>
      </c>
      <c r="AO4" s="299"/>
      <c r="AP4" s="300"/>
      <c r="AQ4" s="301" t="s">
        <v>96</v>
      </c>
      <c r="AR4" s="301" t="s">
        <v>9</v>
      </c>
      <c r="AS4" s="303" t="s">
        <v>97</v>
      </c>
      <c r="AT4" s="304"/>
      <c r="AU4" s="304"/>
      <c r="AV4" s="305"/>
      <c r="AW4" s="303" t="s">
        <v>124</v>
      </c>
      <c r="AX4" s="305"/>
      <c r="AY4" s="306" t="s">
        <v>122</v>
      </c>
      <c r="AZ4" s="307"/>
      <c r="BA4" s="306" t="s">
        <v>127</v>
      </c>
      <c r="BB4" s="308"/>
      <c r="BC4" s="306" t="s">
        <v>123</v>
      </c>
      <c r="BD4" s="307"/>
      <c r="BE4" s="309" t="s">
        <v>128</v>
      </c>
      <c r="BF4" s="309" t="s">
        <v>129</v>
      </c>
      <c r="BG4" s="312" t="s">
        <v>8</v>
      </c>
      <c r="BH4" s="314" t="s">
        <v>21</v>
      </c>
      <c r="BI4" s="315"/>
      <c r="BJ4" s="316"/>
      <c r="BK4" s="312" t="s">
        <v>23</v>
      </c>
      <c r="BL4" s="317" t="s">
        <v>98</v>
      </c>
      <c r="BN4" s="298" t="s">
        <v>9</v>
      </c>
      <c r="BO4" s="299"/>
      <c r="BP4" s="300"/>
      <c r="BQ4" s="301" t="s">
        <v>96</v>
      </c>
      <c r="BR4" s="301" t="s">
        <v>9</v>
      </c>
      <c r="BS4" s="303" t="s">
        <v>97</v>
      </c>
      <c r="BT4" s="304"/>
      <c r="BU4" s="304"/>
      <c r="BV4" s="305"/>
      <c r="BW4" s="303" t="s">
        <v>124</v>
      </c>
      <c r="BX4" s="305"/>
      <c r="BY4" s="306" t="s">
        <v>122</v>
      </c>
      <c r="BZ4" s="307"/>
      <c r="CA4" s="306" t="s">
        <v>127</v>
      </c>
      <c r="CB4" s="308"/>
      <c r="CC4" s="306" t="s">
        <v>123</v>
      </c>
      <c r="CD4" s="307"/>
      <c r="CE4" s="309" t="s">
        <v>128</v>
      </c>
      <c r="CF4" s="309" t="s">
        <v>129</v>
      </c>
      <c r="CG4" s="312" t="s">
        <v>8</v>
      </c>
      <c r="CH4" s="314" t="s">
        <v>21</v>
      </c>
      <c r="CI4" s="315"/>
      <c r="CJ4" s="316"/>
      <c r="CK4" s="312" t="s">
        <v>23</v>
      </c>
      <c r="CL4" s="317" t="s">
        <v>98</v>
      </c>
      <c r="CN4" s="298" t="s">
        <v>9</v>
      </c>
      <c r="CO4" s="299"/>
      <c r="CP4" s="300"/>
      <c r="CQ4" s="301" t="s">
        <v>96</v>
      </c>
      <c r="CR4" s="301" t="s">
        <v>9</v>
      </c>
      <c r="CS4" s="303" t="s">
        <v>97</v>
      </c>
      <c r="CT4" s="304"/>
      <c r="CU4" s="304"/>
      <c r="CV4" s="305"/>
      <c r="CW4" s="303" t="s">
        <v>124</v>
      </c>
      <c r="CX4" s="305"/>
      <c r="CY4" s="306" t="s">
        <v>122</v>
      </c>
      <c r="CZ4" s="307"/>
      <c r="DA4" s="306" t="s">
        <v>127</v>
      </c>
      <c r="DB4" s="308"/>
      <c r="DC4" s="306" t="s">
        <v>123</v>
      </c>
      <c r="DD4" s="307"/>
      <c r="DE4" s="309" t="s">
        <v>128</v>
      </c>
      <c r="DF4" s="309" t="s">
        <v>129</v>
      </c>
      <c r="DG4" s="312" t="s">
        <v>8</v>
      </c>
      <c r="DH4" s="314" t="s">
        <v>21</v>
      </c>
      <c r="DI4" s="315"/>
      <c r="DJ4" s="316"/>
      <c r="DK4" s="312" t="s">
        <v>23</v>
      </c>
      <c r="DL4" s="317" t="s">
        <v>98</v>
      </c>
      <c r="DN4" s="298" t="s">
        <v>9</v>
      </c>
      <c r="DO4" s="299"/>
      <c r="DP4" s="300"/>
      <c r="DQ4" s="301" t="s">
        <v>96</v>
      </c>
      <c r="DR4" s="301" t="s">
        <v>9</v>
      </c>
      <c r="DS4" s="303" t="s">
        <v>97</v>
      </c>
      <c r="DT4" s="304"/>
      <c r="DU4" s="304"/>
      <c r="DV4" s="305"/>
      <c r="DW4" s="303" t="s">
        <v>124</v>
      </c>
      <c r="DX4" s="305"/>
      <c r="DY4" s="306" t="s">
        <v>122</v>
      </c>
      <c r="DZ4" s="307"/>
      <c r="EA4" s="306" t="s">
        <v>127</v>
      </c>
      <c r="EB4" s="308"/>
      <c r="EC4" s="306" t="s">
        <v>123</v>
      </c>
      <c r="ED4" s="307"/>
      <c r="EE4" s="309" t="s">
        <v>128</v>
      </c>
      <c r="EF4" s="309" t="s">
        <v>129</v>
      </c>
      <c r="EG4" s="312" t="s">
        <v>8</v>
      </c>
      <c r="EH4" s="314" t="s">
        <v>21</v>
      </c>
      <c r="EI4" s="315"/>
      <c r="EJ4" s="316"/>
      <c r="EK4" s="312" t="s">
        <v>23</v>
      </c>
      <c r="EL4" s="317" t="s">
        <v>98</v>
      </c>
      <c r="EN4" s="298" t="s">
        <v>9</v>
      </c>
      <c r="EO4" s="299"/>
      <c r="EP4" s="300"/>
      <c r="EQ4" s="301" t="s">
        <v>96</v>
      </c>
      <c r="ER4" s="301" t="s">
        <v>9</v>
      </c>
      <c r="ES4" s="303" t="s">
        <v>97</v>
      </c>
      <c r="ET4" s="304"/>
      <c r="EU4" s="304"/>
      <c r="EV4" s="305"/>
      <c r="EW4" s="303" t="s">
        <v>124</v>
      </c>
      <c r="EX4" s="305"/>
      <c r="EY4" s="306" t="s">
        <v>122</v>
      </c>
      <c r="EZ4" s="307"/>
      <c r="FA4" s="306" t="s">
        <v>127</v>
      </c>
      <c r="FB4" s="308"/>
      <c r="FC4" s="306" t="s">
        <v>123</v>
      </c>
      <c r="FD4" s="307"/>
      <c r="FE4" s="309" t="s">
        <v>128</v>
      </c>
      <c r="FF4" s="309" t="s">
        <v>129</v>
      </c>
      <c r="FG4" s="312" t="s">
        <v>8</v>
      </c>
      <c r="FH4" s="314" t="s">
        <v>21</v>
      </c>
      <c r="FI4" s="315"/>
      <c r="FJ4" s="316"/>
      <c r="FK4" s="312" t="s">
        <v>23</v>
      </c>
      <c r="FL4" s="317" t="s">
        <v>98</v>
      </c>
      <c r="FN4" s="298" t="s">
        <v>9</v>
      </c>
      <c r="FO4" s="299"/>
      <c r="FP4" s="300"/>
      <c r="FQ4" s="301" t="s">
        <v>96</v>
      </c>
      <c r="FR4" s="301" t="s">
        <v>9</v>
      </c>
      <c r="FS4" s="303" t="s">
        <v>97</v>
      </c>
      <c r="FT4" s="304"/>
      <c r="FU4" s="304"/>
      <c r="FV4" s="305"/>
      <c r="FW4" s="303" t="s">
        <v>124</v>
      </c>
      <c r="FX4" s="305"/>
      <c r="FY4" s="306" t="s">
        <v>122</v>
      </c>
      <c r="FZ4" s="307"/>
      <c r="GA4" s="306" t="s">
        <v>127</v>
      </c>
      <c r="GB4" s="308"/>
      <c r="GC4" s="306" t="s">
        <v>123</v>
      </c>
      <c r="GD4" s="307"/>
      <c r="GE4" s="309" t="s">
        <v>128</v>
      </c>
      <c r="GF4" s="309" t="s">
        <v>129</v>
      </c>
      <c r="GG4" s="312" t="s">
        <v>8</v>
      </c>
      <c r="GH4" s="314" t="s">
        <v>21</v>
      </c>
      <c r="GI4" s="315"/>
      <c r="GJ4" s="316"/>
      <c r="GK4" s="312" t="s">
        <v>23</v>
      </c>
      <c r="GL4" s="317" t="s">
        <v>98</v>
      </c>
      <c r="GN4" s="298" t="s">
        <v>9</v>
      </c>
      <c r="GO4" s="299"/>
      <c r="GP4" s="300"/>
      <c r="GQ4" s="301" t="s">
        <v>96</v>
      </c>
      <c r="GR4" s="301" t="s">
        <v>9</v>
      </c>
      <c r="GS4" s="303" t="s">
        <v>97</v>
      </c>
      <c r="GT4" s="304"/>
      <c r="GU4" s="304"/>
      <c r="GV4" s="305"/>
      <c r="GW4" s="303" t="s">
        <v>124</v>
      </c>
      <c r="GX4" s="305"/>
      <c r="GY4" s="306" t="s">
        <v>122</v>
      </c>
      <c r="GZ4" s="307"/>
      <c r="HA4" s="306" t="s">
        <v>127</v>
      </c>
      <c r="HB4" s="308"/>
      <c r="HC4" s="306" t="s">
        <v>123</v>
      </c>
      <c r="HD4" s="307"/>
      <c r="HE4" s="309" t="s">
        <v>128</v>
      </c>
      <c r="HF4" s="309" t="s">
        <v>129</v>
      </c>
      <c r="HG4" s="312" t="s">
        <v>8</v>
      </c>
      <c r="HH4" s="314" t="s">
        <v>21</v>
      </c>
      <c r="HI4" s="315"/>
      <c r="HJ4" s="316"/>
      <c r="HK4" s="312" t="s">
        <v>23</v>
      </c>
      <c r="HL4" s="317" t="s">
        <v>98</v>
      </c>
      <c r="HN4" s="298" t="s">
        <v>9</v>
      </c>
      <c r="HO4" s="299"/>
      <c r="HP4" s="300"/>
      <c r="HQ4" s="301" t="s">
        <v>96</v>
      </c>
      <c r="HR4" s="301" t="s">
        <v>9</v>
      </c>
      <c r="HS4" s="303" t="s">
        <v>97</v>
      </c>
      <c r="HT4" s="304"/>
      <c r="HU4" s="304"/>
      <c r="HV4" s="305"/>
      <c r="HW4" s="303" t="s">
        <v>124</v>
      </c>
      <c r="HX4" s="305"/>
      <c r="HY4" s="306" t="s">
        <v>122</v>
      </c>
      <c r="HZ4" s="307"/>
      <c r="IA4" s="306" t="s">
        <v>127</v>
      </c>
      <c r="IB4" s="308"/>
      <c r="IC4" s="306" t="s">
        <v>123</v>
      </c>
      <c r="ID4" s="307"/>
      <c r="IE4" s="309" t="s">
        <v>128</v>
      </c>
      <c r="IF4" s="309" t="s">
        <v>129</v>
      </c>
      <c r="IG4" s="312" t="s">
        <v>8</v>
      </c>
      <c r="IH4" s="314" t="s">
        <v>21</v>
      </c>
      <c r="II4" s="315"/>
      <c r="IJ4" s="316"/>
      <c r="IK4" s="312" t="s">
        <v>23</v>
      </c>
      <c r="IL4" s="317" t="s">
        <v>98</v>
      </c>
      <c r="IN4" s="298" t="s">
        <v>9</v>
      </c>
      <c r="IO4" s="299"/>
      <c r="IP4" s="300"/>
      <c r="IQ4" s="301" t="s">
        <v>96</v>
      </c>
      <c r="IR4" s="301" t="s">
        <v>9</v>
      </c>
      <c r="IS4" s="303" t="s">
        <v>97</v>
      </c>
      <c r="IT4" s="304"/>
      <c r="IU4" s="304"/>
      <c r="IV4" s="305"/>
      <c r="IW4" s="303" t="s">
        <v>124</v>
      </c>
      <c r="IX4" s="305"/>
      <c r="IY4" s="306" t="s">
        <v>122</v>
      </c>
      <c r="IZ4" s="307"/>
      <c r="JA4" s="306" t="s">
        <v>127</v>
      </c>
      <c r="JB4" s="308"/>
      <c r="JC4" s="306" t="s">
        <v>123</v>
      </c>
      <c r="JD4" s="307"/>
      <c r="JE4" s="309" t="s">
        <v>128</v>
      </c>
      <c r="JF4" s="309" t="s">
        <v>129</v>
      </c>
      <c r="JG4" s="312" t="s">
        <v>8</v>
      </c>
      <c r="JH4" s="314" t="s">
        <v>21</v>
      </c>
      <c r="JI4" s="315"/>
      <c r="JJ4" s="316"/>
      <c r="JK4" s="312" t="s">
        <v>23</v>
      </c>
      <c r="JL4" s="317" t="s">
        <v>98</v>
      </c>
      <c r="JN4" s="298" t="s">
        <v>9</v>
      </c>
      <c r="JO4" s="299"/>
      <c r="JP4" s="300"/>
      <c r="JQ4" s="301" t="s">
        <v>96</v>
      </c>
      <c r="JR4" s="301" t="s">
        <v>9</v>
      </c>
      <c r="JS4" s="303" t="s">
        <v>97</v>
      </c>
      <c r="JT4" s="304"/>
      <c r="JU4" s="304"/>
      <c r="JV4" s="305"/>
      <c r="JW4" s="303" t="s">
        <v>124</v>
      </c>
      <c r="JX4" s="305"/>
      <c r="JY4" s="306" t="s">
        <v>122</v>
      </c>
      <c r="JZ4" s="307"/>
      <c r="KA4" s="306" t="s">
        <v>127</v>
      </c>
      <c r="KB4" s="308"/>
      <c r="KC4" s="306" t="s">
        <v>123</v>
      </c>
      <c r="KD4" s="307"/>
      <c r="KE4" s="309" t="s">
        <v>128</v>
      </c>
      <c r="KF4" s="309" t="s">
        <v>129</v>
      </c>
      <c r="KG4" s="312" t="s">
        <v>8</v>
      </c>
      <c r="KH4" s="314" t="s">
        <v>21</v>
      </c>
      <c r="KI4" s="315"/>
      <c r="KJ4" s="316"/>
      <c r="KK4" s="312" t="s">
        <v>23</v>
      </c>
      <c r="KL4" s="317" t="s">
        <v>98</v>
      </c>
      <c r="KN4" s="298" t="s">
        <v>9</v>
      </c>
      <c r="KO4" s="299"/>
      <c r="KP4" s="300"/>
      <c r="KQ4" s="301" t="s">
        <v>96</v>
      </c>
      <c r="KR4" s="301" t="s">
        <v>9</v>
      </c>
      <c r="KS4" s="303" t="s">
        <v>97</v>
      </c>
      <c r="KT4" s="304"/>
      <c r="KU4" s="304"/>
      <c r="KV4" s="305"/>
      <c r="KW4" s="303" t="s">
        <v>124</v>
      </c>
      <c r="KX4" s="305"/>
      <c r="KY4" s="306" t="s">
        <v>122</v>
      </c>
      <c r="KZ4" s="307"/>
      <c r="LA4" s="306" t="s">
        <v>127</v>
      </c>
      <c r="LB4" s="308"/>
      <c r="LC4" s="306" t="s">
        <v>123</v>
      </c>
      <c r="LD4" s="307"/>
      <c r="LE4" s="309" t="s">
        <v>128</v>
      </c>
      <c r="LF4" s="309" t="s">
        <v>129</v>
      </c>
      <c r="LG4" s="312" t="s">
        <v>8</v>
      </c>
      <c r="LH4" s="314" t="s">
        <v>21</v>
      </c>
      <c r="LI4" s="315"/>
      <c r="LJ4" s="316"/>
      <c r="LK4" s="312" t="s">
        <v>23</v>
      </c>
      <c r="LL4" s="317" t="s">
        <v>98</v>
      </c>
    </row>
    <row r="5" spans="1:327" customFormat="1" ht="58.5" thickBot="1" x14ac:dyDescent="0.4">
      <c r="A5" s="327"/>
      <c r="B5" s="321"/>
      <c r="C5" s="333"/>
      <c r="D5" s="321"/>
      <c r="E5" s="330"/>
      <c r="F5" s="331"/>
      <c r="G5" s="321"/>
      <c r="H5" s="321"/>
      <c r="I5" s="321"/>
      <c r="J5" s="321"/>
      <c r="K5" s="321"/>
      <c r="L5" s="325"/>
      <c r="M5" s="323"/>
      <c r="N5" s="237" t="s">
        <v>7</v>
      </c>
      <c r="O5" s="235" t="s">
        <v>56</v>
      </c>
      <c r="P5" s="235" t="s">
        <v>57</v>
      </c>
      <c r="Q5" s="302"/>
      <c r="R5" s="302"/>
      <c r="S5" s="72" t="s">
        <v>133</v>
      </c>
      <c r="T5" s="72" t="s">
        <v>131</v>
      </c>
      <c r="U5" s="72" t="s">
        <v>132</v>
      </c>
      <c r="V5" s="72" t="s">
        <v>170</v>
      </c>
      <c r="W5" s="150" t="s">
        <v>10</v>
      </c>
      <c r="X5" s="151" t="s">
        <v>11</v>
      </c>
      <c r="Y5" s="72" t="s">
        <v>120</v>
      </c>
      <c r="Z5" s="72" t="s">
        <v>119</v>
      </c>
      <c r="AA5" s="72" t="s">
        <v>121</v>
      </c>
      <c r="AB5" s="72" t="s">
        <v>118</v>
      </c>
      <c r="AC5" s="72" t="s">
        <v>125</v>
      </c>
      <c r="AD5" s="72" t="s">
        <v>126</v>
      </c>
      <c r="AE5" s="310"/>
      <c r="AF5" s="311"/>
      <c r="AG5" s="313"/>
      <c r="AH5" s="236" t="s">
        <v>110</v>
      </c>
      <c r="AI5" s="236" t="s">
        <v>214</v>
      </c>
      <c r="AJ5" s="236" t="s">
        <v>22</v>
      </c>
      <c r="AK5" s="313"/>
      <c r="AL5" s="318"/>
      <c r="AN5" s="237" t="s">
        <v>7</v>
      </c>
      <c r="AO5" s="235" t="s">
        <v>56</v>
      </c>
      <c r="AP5" s="235" t="s">
        <v>57</v>
      </c>
      <c r="AQ5" s="302"/>
      <c r="AR5" s="302"/>
      <c r="AS5" s="72" t="s">
        <v>133</v>
      </c>
      <c r="AT5" s="72" t="s">
        <v>131</v>
      </c>
      <c r="AU5" s="72" t="s">
        <v>132</v>
      </c>
      <c r="AV5" s="72" t="s">
        <v>170</v>
      </c>
      <c r="AW5" s="150" t="s">
        <v>10</v>
      </c>
      <c r="AX5" s="151" t="s">
        <v>11</v>
      </c>
      <c r="AY5" s="72" t="s">
        <v>120</v>
      </c>
      <c r="AZ5" s="72" t="s">
        <v>119</v>
      </c>
      <c r="BA5" s="72" t="s">
        <v>121</v>
      </c>
      <c r="BB5" s="72" t="s">
        <v>118</v>
      </c>
      <c r="BC5" s="72" t="s">
        <v>125</v>
      </c>
      <c r="BD5" s="72" t="s">
        <v>126</v>
      </c>
      <c r="BE5" s="310"/>
      <c r="BF5" s="311"/>
      <c r="BG5" s="313"/>
      <c r="BH5" s="236" t="s">
        <v>110</v>
      </c>
      <c r="BI5" s="236" t="s">
        <v>214</v>
      </c>
      <c r="BJ5" s="236" t="s">
        <v>22</v>
      </c>
      <c r="BK5" s="313"/>
      <c r="BL5" s="318"/>
      <c r="BM5" s="149"/>
      <c r="BN5" s="237" t="s">
        <v>7</v>
      </c>
      <c r="BO5" s="235" t="s">
        <v>56</v>
      </c>
      <c r="BP5" s="235" t="s">
        <v>57</v>
      </c>
      <c r="BQ5" s="302"/>
      <c r="BR5" s="302"/>
      <c r="BS5" s="72" t="s">
        <v>133</v>
      </c>
      <c r="BT5" s="72" t="s">
        <v>131</v>
      </c>
      <c r="BU5" s="72" t="s">
        <v>132</v>
      </c>
      <c r="BV5" s="72" t="s">
        <v>170</v>
      </c>
      <c r="BW5" s="150" t="s">
        <v>10</v>
      </c>
      <c r="BX5" s="151" t="s">
        <v>11</v>
      </c>
      <c r="BY5" s="72" t="s">
        <v>120</v>
      </c>
      <c r="BZ5" s="72" t="s">
        <v>119</v>
      </c>
      <c r="CA5" s="72" t="s">
        <v>121</v>
      </c>
      <c r="CB5" s="72" t="s">
        <v>118</v>
      </c>
      <c r="CC5" s="72" t="s">
        <v>125</v>
      </c>
      <c r="CD5" s="72" t="s">
        <v>126</v>
      </c>
      <c r="CE5" s="310"/>
      <c r="CF5" s="311"/>
      <c r="CG5" s="313"/>
      <c r="CH5" s="236" t="s">
        <v>110</v>
      </c>
      <c r="CI5" s="236" t="s">
        <v>214</v>
      </c>
      <c r="CJ5" s="236" t="s">
        <v>22</v>
      </c>
      <c r="CK5" s="313"/>
      <c r="CL5" s="318"/>
      <c r="CN5" s="237" t="s">
        <v>7</v>
      </c>
      <c r="CO5" s="235" t="s">
        <v>56</v>
      </c>
      <c r="CP5" s="235" t="s">
        <v>57</v>
      </c>
      <c r="CQ5" s="302"/>
      <c r="CR5" s="302"/>
      <c r="CS5" s="72" t="s">
        <v>133</v>
      </c>
      <c r="CT5" s="72" t="s">
        <v>131</v>
      </c>
      <c r="CU5" s="72" t="s">
        <v>132</v>
      </c>
      <c r="CV5" s="72" t="s">
        <v>170</v>
      </c>
      <c r="CW5" s="150" t="s">
        <v>10</v>
      </c>
      <c r="CX5" s="151" t="s">
        <v>11</v>
      </c>
      <c r="CY5" s="72" t="s">
        <v>120</v>
      </c>
      <c r="CZ5" s="72" t="s">
        <v>119</v>
      </c>
      <c r="DA5" s="72" t="s">
        <v>121</v>
      </c>
      <c r="DB5" s="72" t="s">
        <v>118</v>
      </c>
      <c r="DC5" s="72" t="s">
        <v>125</v>
      </c>
      <c r="DD5" s="72" t="s">
        <v>126</v>
      </c>
      <c r="DE5" s="310"/>
      <c r="DF5" s="311"/>
      <c r="DG5" s="313"/>
      <c r="DH5" s="236" t="s">
        <v>110</v>
      </c>
      <c r="DI5" s="236" t="s">
        <v>214</v>
      </c>
      <c r="DJ5" s="236" t="s">
        <v>22</v>
      </c>
      <c r="DK5" s="313"/>
      <c r="DL5" s="318"/>
      <c r="DN5" s="237" t="s">
        <v>7</v>
      </c>
      <c r="DO5" s="235" t="s">
        <v>56</v>
      </c>
      <c r="DP5" s="235" t="s">
        <v>57</v>
      </c>
      <c r="DQ5" s="302"/>
      <c r="DR5" s="302"/>
      <c r="DS5" s="72" t="s">
        <v>133</v>
      </c>
      <c r="DT5" s="72" t="s">
        <v>131</v>
      </c>
      <c r="DU5" s="72" t="s">
        <v>132</v>
      </c>
      <c r="DV5" s="72" t="s">
        <v>170</v>
      </c>
      <c r="DW5" s="150" t="s">
        <v>10</v>
      </c>
      <c r="DX5" s="151" t="s">
        <v>11</v>
      </c>
      <c r="DY5" s="72" t="s">
        <v>120</v>
      </c>
      <c r="DZ5" s="72" t="s">
        <v>119</v>
      </c>
      <c r="EA5" s="72" t="s">
        <v>121</v>
      </c>
      <c r="EB5" s="72" t="s">
        <v>118</v>
      </c>
      <c r="EC5" s="72" t="s">
        <v>125</v>
      </c>
      <c r="ED5" s="72" t="s">
        <v>126</v>
      </c>
      <c r="EE5" s="310"/>
      <c r="EF5" s="311"/>
      <c r="EG5" s="313"/>
      <c r="EH5" s="236" t="s">
        <v>110</v>
      </c>
      <c r="EI5" s="236" t="s">
        <v>214</v>
      </c>
      <c r="EJ5" s="236" t="s">
        <v>22</v>
      </c>
      <c r="EK5" s="313"/>
      <c r="EL5" s="318"/>
      <c r="EN5" s="237" t="s">
        <v>7</v>
      </c>
      <c r="EO5" s="235" t="s">
        <v>56</v>
      </c>
      <c r="EP5" s="235" t="s">
        <v>57</v>
      </c>
      <c r="EQ5" s="302"/>
      <c r="ER5" s="302"/>
      <c r="ES5" s="72" t="s">
        <v>133</v>
      </c>
      <c r="ET5" s="72" t="s">
        <v>131</v>
      </c>
      <c r="EU5" s="72" t="s">
        <v>132</v>
      </c>
      <c r="EV5" s="72" t="s">
        <v>170</v>
      </c>
      <c r="EW5" s="150" t="s">
        <v>10</v>
      </c>
      <c r="EX5" s="151" t="s">
        <v>11</v>
      </c>
      <c r="EY5" s="72" t="s">
        <v>120</v>
      </c>
      <c r="EZ5" s="72" t="s">
        <v>119</v>
      </c>
      <c r="FA5" s="72" t="s">
        <v>121</v>
      </c>
      <c r="FB5" s="72" t="s">
        <v>118</v>
      </c>
      <c r="FC5" s="72" t="s">
        <v>125</v>
      </c>
      <c r="FD5" s="72" t="s">
        <v>126</v>
      </c>
      <c r="FE5" s="310"/>
      <c r="FF5" s="311"/>
      <c r="FG5" s="313"/>
      <c r="FH5" s="236" t="s">
        <v>110</v>
      </c>
      <c r="FI5" s="236" t="s">
        <v>214</v>
      </c>
      <c r="FJ5" s="236" t="s">
        <v>22</v>
      </c>
      <c r="FK5" s="313"/>
      <c r="FL5" s="318"/>
      <c r="FN5" s="237" t="s">
        <v>7</v>
      </c>
      <c r="FO5" s="235" t="s">
        <v>56</v>
      </c>
      <c r="FP5" s="235" t="s">
        <v>57</v>
      </c>
      <c r="FQ5" s="302"/>
      <c r="FR5" s="302"/>
      <c r="FS5" s="72" t="s">
        <v>133</v>
      </c>
      <c r="FT5" s="72" t="s">
        <v>131</v>
      </c>
      <c r="FU5" s="72" t="s">
        <v>132</v>
      </c>
      <c r="FV5" s="72" t="s">
        <v>170</v>
      </c>
      <c r="FW5" s="150" t="s">
        <v>10</v>
      </c>
      <c r="FX5" s="151" t="s">
        <v>11</v>
      </c>
      <c r="FY5" s="72" t="s">
        <v>120</v>
      </c>
      <c r="FZ5" s="72" t="s">
        <v>119</v>
      </c>
      <c r="GA5" s="72" t="s">
        <v>121</v>
      </c>
      <c r="GB5" s="72" t="s">
        <v>118</v>
      </c>
      <c r="GC5" s="72" t="s">
        <v>125</v>
      </c>
      <c r="GD5" s="72" t="s">
        <v>126</v>
      </c>
      <c r="GE5" s="310"/>
      <c r="GF5" s="311"/>
      <c r="GG5" s="313"/>
      <c r="GH5" s="236" t="s">
        <v>110</v>
      </c>
      <c r="GI5" s="236" t="s">
        <v>214</v>
      </c>
      <c r="GJ5" s="236" t="s">
        <v>22</v>
      </c>
      <c r="GK5" s="313"/>
      <c r="GL5" s="318"/>
      <c r="GN5" s="237" t="s">
        <v>7</v>
      </c>
      <c r="GO5" s="235" t="s">
        <v>56</v>
      </c>
      <c r="GP5" s="235" t="s">
        <v>57</v>
      </c>
      <c r="GQ5" s="302"/>
      <c r="GR5" s="302"/>
      <c r="GS5" s="72" t="s">
        <v>133</v>
      </c>
      <c r="GT5" s="72" t="s">
        <v>131</v>
      </c>
      <c r="GU5" s="72" t="s">
        <v>132</v>
      </c>
      <c r="GV5" s="72" t="s">
        <v>170</v>
      </c>
      <c r="GW5" s="150" t="s">
        <v>10</v>
      </c>
      <c r="GX5" s="151" t="s">
        <v>11</v>
      </c>
      <c r="GY5" s="72" t="s">
        <v>120</v>
      </c>
      <c r="GZ5" s="72" t="s">
        <v>119</v>
      </c>
      <c r="HA5" s="72" t="s">
        <v>121</v>
      </c>
      <c r="HB5" s="72" t="s">
        <v>118</v>
      </c>
      <c r="HC5" s="72" t="s">
        <v>125</v>
      </c>
      <c r="HD5" s="72" t="s">
        <v>126</v>
      </c>
      <c r="HE5" s="310"/>
      <c r="HF5" s="311"/>
      <c r="HG5" s="313"/>
      <c r="HH5" s="236" t="s">
        <v>110</v>
      </c>
      <c r="HI5" s="236" t="s">
        <v>214</v>
      </c>
      <c r="HJ5" s="236" t="s">
        <v>22</v>
      </c>
      <c r="HK5" s="313"/>
      <c r="HL5" s="318"/>
      <c r="HN5" s="237" t="s">
        <v>7</v>
      </c>
      <c r="HO5" s="235" t="s">
        <v>56</v>
      </c>
      <c r="HP5" s="235" t="s">
        <v>57</v>
      </c>
      <c r="HQ5" s="302"/>
      <c r="HR5" s="302"/>
      <c r="HS5" s="72" t="s">
        <v>133</v>
      </c>
      <c r="HT5" s="72" t="s">
        <v>131</v>
      </c>
      <c r="HU5" s="72" t="s">
        <v>132</v>
      </c>
      <c r="HV5" s="72" t="s">
        <v>170</v>
      </c>
      <c r="HW5" s="150" t="s">
        <v>10</v>
      </c>
      <c r="HX5" s="151" t="s">
        <v>11</v>
      </c>
      <c r="HY5" s="72" t="s">
        <v>120</v>
      </c>
      <c r="HZ5" s="72" t="s">
        <v>119</v>
      </c>
      <c r="IA5" s="72" t="s">
        <v>121</v>
      </c>
      <c r="IB5" s="72" t="s">
        <v>118</v>
      </c>
      <c r="IC5" s="72" t="s">
        <v>125</v>
      </c>
      <c r="ID5" s="72" t="s">
        <v>126</v>
      </c>
      <c r="IE5" s="310"/>
      <c r="IF5" s="311"/>
      <c r="IG5" s="313"/>
      <c r="IH5" s="236" t="s">
        <v>110</v>
      </c>
      <c r="II5" s="236" t="s">
        <v>214</v>
      </c>
      <c r="IJ5" s="236" t="s">
        <v>22</v>
      </c>
      <c r="IK5" s="313"/>
      <c r="IL5" s="318"/>
      <c r="IN5" s="237" t="s">
        <v>7</v>
      </c>
      <c r="IO5" s="235" t="s">
        <v>56</v>
      </c>
      <c r="IP5" s="235" t="s">
        <v>57</v>
      </c>
      <c r="IQ5" s="302"/>
      <c r="IR5" s="302"/>
      <c r="IS5" s="72" t="s">
        <v>133</v>
      </c>
      <c r="IT5" s="72" t="s">
        <v>131</v>
      </c>
      <c r="IU5" s="72" t="s">
        <v>132</v>
      </c>
      <c r="IV5" s="72" t="s">
        <v>170</v>
      </c>
      <c r="IW5" s="150" t="s">
        <v>10</v>
      </c>
      <c r="IX5" s="151" t="s">
        <v>11</v>
      </c>
      <c r="IY5" s="72" t="s">
        <v>120</v>
      </c>
      <c r="IZ5" s="72" t="s">
        <v>119</v>
      </c>
      <c r="JA5" s="72" t="s">
        <v>121</v>
      </c>
      <c r="JB5" s="72" t="s">
        <v>118</v>
      </c>
      <c r="JC5" s="72" t="s">
        <v>125</v>
      </c>
      <c r="JD5" s="72" t="s">
        <v>126</v>
      </c>
      <c r="JE5" s="310"/>
      <c r="JF5" s="311"/>
      <c r="JG5" s="313"/>
      <c r="JH5" s="236" t="s">
        <v>110</v>
      </c>
      <c r="JI5" s="236" t="s">
        <v>214</v>
      </c>
      <c r="JJ5" s="236" t="s">
        <v>22</v>
      </c>
      <c r="JK5" s="313"/>
      <c r="JL5" s="318"/>
      <c r="JN5" s="237" t="s">
        <v>7</v>
      </c>
      <c r="JO5" s="235" t="s">
        <v>56</v>
      </c>
      <c r="JP5" s="235" t="s">
        <v>57</v>
      </c>
      <c r="JQ5" s="302"/>
      <c r="JR5" s="302"/>
      <c r="JS5" s="72" t="s">
        <v>133</v>
      </c>
      <c r="JT5" s="72" t="s">
        <v>131</v>
      </c>
      <c r="JU5" s="72" t="s">
        <v>132</v>
      </c>
      <c r="JV5" s="72" t="s">
        <v>170</v>
      </c>
      <c r="JW5" s="150" t="s">
        <v>10</v>
      </c>
      <c r="JX5" s="151" t="s">
        <v>11</v>
      </c>
      <c r="JY5" s="72" t="s">
        <v>120</v>
      </c>
      <c r="JZ5" s="72" t="s">
        <v>119</v>
      </c>
      <c r="KA5" s="72" t="s">
        <v>121</v>
      </c>
      <c r="KB5" s="72" t="s">
        <v>118</v>
      </c>
      <c r="KC5" s="72" t="s">
        <v>125</v>
      </c>
      <c r="KD5" s="72" t="s">
        <v>126</v>
      </c>
      <c r="KE5" s="310"/>
      <c r="KF5" s="311"/>
      <c r="KG5" s="313"/>
      <c r="KH5" s="236" t="s">
        <v>110</v>
      </c>
      <c r="KI5" s="236" t="s">
        <v>214</v>
      </c>
      <c r="KJ5" s="236" t="s">
        <v>22</v>
      </c>
      <c r="KK5" s="313"/>
      <c r="KL5" s="318"/>
      <c r="KN5" s="237" t="s">
        <v>7</v>
      </c>
      <c r="KO5" s="235" t="s">
        <v>56</v>
      </c>
      <c r="KP5" s="235" t="s">
        <v>57</v>
      </c>
      <c r="KQ5" s="302"/>
      <c r="KR5" s="302"/>
      <c r="KS5" s="72" t="s">
        <v>133</v>
      </c>
      <c r="KT5" s="72" t="s">
        <v>131</v>
      </c>
      <c r="KU5" s="72" t="s">
        <v>132</v>
      </c>
      <c r="KV5" s="72" t="s">
        <v>170</v>
      </c>
      <c r="KW5" s="150" t="s">
        <v>10</v>
      </c>
      <c r="KX5" s="151" t="s">
        <v>11</v>
      </c>
      <c r="KY5" s="72" t="s">
        <v>120</v>
      </c>
      <c r="KZ5" s="72" t="s">
        <v>119</v>
      </c>
      <c r="LA5" s="72" t="s">
        <v>121</v>
      </c>
      <c r="LB5" s="72" t="s">
        <v>118</v>
      </c>
      <c r="LC5" s="72" t="s">
        <v>125</v>
      </c>
      <c r="LD5" s="72" t="s">
        <v>126</v>
      </c>
      <c r="LE5" s="310"/>
      <c r="LF5" s="311"/>
      <c r="LG5" s="313"/>
      <c r="LH5" s="236" t="s">
        <v>110</v>
      </c>
      <c r="LI5" s="236" t="s">
        <v>214</v>
      </c>
      <c r="LJ5" s="236" t="s">
        <v>22</v>
      </c>
      <c r="LK5" s="313"/>
      <c r="LL5" s="318"/>
      <c r="LO5" s="201" t="s">
        <v>215</v>
      </c>
    </row>
    <row r="6" spans="1:327" customFormat="1" ht="15" thickTop="1" x14ac:dyDescent="0.35">
      <c r="A6" s="51" t="s">
        <v>12</v>
      </c>
      <c r="B6" s="43"/>
      <c r="C6" s="44"/>
      <c r="D6" s="45"/>
      <c r="E6" s="46"/>
      <c r="F6" s="46"/>
      <c r="G6" s="45"/>
      <c r="H6" s="45"/>
      <c r="I6" s="45"/>
      <c r="J6" s="45"/>
      <c r="K6" s="45"/>
      <c r="L6" s="48"/>
      <c r="M6" s="114"/>
      <c r="N6" s="162"/>
      <c r="O6" s="45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153"/>
      <c r="AG6" s="154"/>
      <c r="AH6" s="154"/>
      <c r="AI6" s="154"/>
      <c r="AJ6" s="154"/>
      <c r="AK6" s="154"/>
      <c r="AL6" s="97"/>
      <c r="AN6" s="45"/>
      <c r="AO6" s="45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153"/>
      <c r="BG6" s="154"/>
      <c r="BH6" s="154"/>
      <c r="BI6" s="154"/>
      <c r="BJ6" s="154"/>
      <c r="BK6" s="154"/>
      <c r="BL6" s="97"/>
      <c r="BN6" s="45"/>
      <c r="BO6" s="45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153"/>
      <c r="CG6" s="154"/>
      <c r="CH6" s="154"/>
      <c r="CI6" s="154"/>
      <c r="CJ6" s="154"/>
      <c r="CK6" s="154"/>
      <c r="CL6" s="97"/>
      <c r="CN6" s="45"/>
      <c r="CO6" s="45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153"/>
      <c r="DG6" s="154"/>
      <c r="DH6" s="154"/>
      <c r="DI6" s="154"/>
      <c r="DJ6" s="154"/>
      <c r="DK6" s="154"/>
      <c r="DL6" s="97"/>
      <c r="DN6" s="45"/>
      <c r="DO6" s="45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153"/>
      <c r="EG6" s="154"/>
      <c r="EH6" s="154"/>
      <c r="EI6" s="154"/>
      <c r="EJ6" s="154"/>
      <c r="EK6" s="154"/>
      <c r="EL6" s="97"/>
      <c r="EN6" s="45"/>
      <c r="EO6" s="45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153"/>
      <c r="FG6" s="154"/>
      <c r="FH6" s="154"/>
      <c r="FI6" s="154"/>
      <c r="FJ6" s="154"/>
      <c r="FK6" s="154"/>
      <c r="FL6" s="97"/>
      <c r="FN6" s="45"/>
      <c r="FO6" s="45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153"/>
      <c r="GG6" s="154"/>
      <c r="GH6" s="154"/>
      <c r="GI6" s="154"/>
      <c r="GJ6" s="154"/>
      <c r="GK6" s="154"/>
      <c r="GL6" s="97"/>
      <c r="GN6" s="45"/>
      <c r="GO6" s="45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153"/>
      <c r="HG6" s="154"/>
      <c r="HH6" s="154"/>
      <c r="HI6" s="154"/>
      <c r="HJ6" s="154"/>
      <c r="HK6" s="154"/>
      <c r="HL6" s="97"/>
      <c r="HN6" s="45"/>
      <c r="HO6" s="45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153"/>
      <c r="IG6" s="154"/>
      <c r="IH6" s="154"/>
      <c r="II6" s="154"/>
      <c r="IJ6" s="154"/>
      <c r="IK6" s="154"/>
      <c r="IL6" s="97"/>
      <c r="IN6" s="45"/>
      <c r="IO6" s="45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153"/>
      <c r="JG6" s="154"/>
      <c r="JH6" s="154"/>
      <c r="JI6" s="154"/>
      <c r="JJ6" s="154"/>
      <c r="JK6" s="154"/>
      <c r="JL6" s="97"/>
      <c r="JN6" s="45"/>
      <c r="JO6" s="45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153"/>
      <c r="KG6" s="154"/>
      <c r="KH6" s="154"/>
      <c r="KI6" s="154"/>
      <c r="KJ6" s="154"/>
      <c r="KK6" s="154"/>
      <c r="KL6" s="97"/>
      <c r="KN6" s="162"/>
      <c r="KO6" s="45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153"/>
      <c r="LG6" s="154"/>
      <c r="LH6" s="154"/>
      <c r="LI6" s="154"/>
      <c r="LJ6" s="154"/>
      <c r="LK6" s="154"/>
      <c r="LL6" s="97"/>
      <c r="LO6" s="200"/>
    </row>
    <row r="7" spans="1:327" customFormat="1" ht="15" customHeight="1" x14ac:dyDescent="0.35">
      <c r="A7" s="52"/>
      <c r="B7" s="53"/>
      <c r="C7" s="73"/>
      <c r="D7" s="55"/>
      <c r="E7" s="281"/>
      <c r="F7" s="56"/>
      <c r="G7" s="129"/>
      <c r="H7" s="59"/>
      <c r="I7" s="54"/>
      <c r="J7" s="59"/>
      <c r="K7" s="273"/>
      <c r="L7" s="67"/>
      <c r="M7" s="164"/>
      <c r="N7" s="163"/>
      <c r="O7" s="161"/>
      <c r="P7" s="63"/>
      <c r="Q7" s="163"/>
      <c r="R7" s="62"/>
      <c r="S7" s="50"/>
      <c r="T7" s="29"/>
      <c r="U7" s="10"/>
      <c r="V7" s="158"/>
      <c r="W7" s="11"/>
      <c r="X7" s="11"/>
      <c r="Y7" s="11"/>
      <c r="Z7" s="12"/>
      <c r="AA7" s="12"/>
      <c r="AB7" s="12"/>
      <c r="AC7" s="12"/>
      <c r="AD7" s="12"/>
      <c r="AE7" s="152"/>
      <c r="AF7" s="152"/>
      <c r="AG7" s="61"/>
      <c r="AH7" s="13"/>
      <c r="AI7" s="13"/>
      <c r="AJ7" s="13"/>
      <c r="AK7" s="60"/>
      <c r="AL7" s="99"/>
      <c r="AN7" s="163"/>
      <c r="AO7" s="161"/>
      <c r="AP7" s="63"/>
      <c r="AQ7" s="64"/>
      <c r="AR7" s="62"/>
      <c r="AS7" s="50"/>
      <c r="AT7" s="29"/>
      <c r="AU7" s="10"/>
      <c r="AV7" s="158"/>
      <c r="AW7" s="11"/>
      <c r="AX7" s="11"/>
      <c r="AY7" s="11"/>
      <c r="AZ7" s="12"/>
      <c r="BA7" s="12"/>
      <c r="BB7" s="12"/>
      <c r="BC7" s="12"/>
      <c r="BD7" s="12"/>
      <c r="BE7" s="152"/>
      <c r="BF7" s="152"/>
      <c r="BG7" s="61"/>
      <c r="BH7" s="13"/>
      <c r="BI7" s="13"/>
      <c r="BJ7" s="13"/>
      <c r="BK7" s="60"/>
      <c r="BL7" s="99"/>
      <c r="BM7" s="14"/>
      <c r="BN7" s="163"/>
      <c r="BO7" s="161"/>
      <c r="BP7" s="63"/>
      <c r="BQ7" s="64"/>
      <c r="BR7" s="62"/>
      <c r="BS7" s="50"/>
      <c r="BT7" s="29"/>
      <c r="BU7" s="10"/>
      <c r="BV7" s="158"/>
      <c r="BW7" s="11"/>
      <c r="BX7" s="11"/>
      <c r="BY7" s="11"/>
      <c r="BZ7" s="12"/>
      <c r="CA7" s="12"/>
      <c r="CB7" s="12"/>
      <c r="CC7" s="12"/>
      <c r="CD7" s="12"/>
      <c r="CE7" s="152"/>
      <c r="CF7" s="152"/>
      <c r="CG7" s="61"/>
      <c r="CH7" s="13"/>
      <c r="CI7" s="13"/>
      <c r="CJ7" s="13"/>
      <c r="CK7" s="60"/>
      <c r="CL7" s="99"/>
      <c r="CN7" s="163"/>
      <c r="CO7" s="161"/>
      <c r="CP7" s="63"/>
      <c r="CQ7" s="64"/>
      <c r="CR7" s="62"/>
      <c r="CS7" s="50"/>
      <c r="CT7" s="29"/>
      <c r="CU7" s="10"/>
      <c r="CV7" s="158"/>
      <c r="CW7" s="11"/>
      <c r="CX7" s="11"/>
      <c r="CY7" s="11"/>
      <c r="CZ7" s="12"/>
      <c r="DA7" s="12"/>
      <c r="DB7" s="12"/>
      <c r="DC7" s="12"/>
      <c r="DD7" s="12"/>
      <c r="DE7" s="152"/>
      <c r="DF7" s="152"/>
      <c r="DG7" s="61"/>
      <c r="DH7" s="13"/>
      <c r="DI7" s="13"/>
      <c r="DJ7" s="13"/>
      <c r="DK7" s="60"/>
      <c r="DL7" s="99"/>
      <c r="DN7" s="163"/>
      <c r="DO7" s="161"/>
      <c r="DP7" s="63"/>
      <c r="DQ7" s="64"/>
      <c r="DR7" s="62"/>
      <c r="DS7" s="50"/>
      <c r="DT7" s="29"/>
      <c r="DU7" s="10"/>
      <c r="DV7" s="158"/>
      <c r="DW7" s="11"/>
      <c r="DX7" s="11"/>
      <c r="DY7" s="11"/>
      <c r="DZ7" s="12"/>
      <c r="EA7" s="12"/>
      <c r="EB7" s="12"/>
      <c r="EC7" s="12"/>
      <c r="ED7" s="12"/>
      <c r="EE7" s="152"/>
      <c r="EF7" s="152"/>
      <c r="EG7" s="61"/>
      <c r="EH7" s="13"/>
      <c r="EI7" s="13"/>
      <c r="EJ7" s="13"/>
      <c r="EK7" s="60"/>
      <c r="EL7" s="99"/>
      <c r="EN7" s="163"/>
      <c r="EO7" s="161"/>
      <c r="EP7" s="63"/>
      <c r="EQ7" s="64"/>
      <c r="ER7" s="62"/>
      <c r="ES7" s="50"/>
      <c r="ET7" s="29"/>
      <c r="EU7" s="10"/>
      <c r="EV7" s="158"/>
      <c r="EW7" s="11"/>
      <c r="EX7" s="11"/>
      <c r="EY7" s="11"/>
      <c r="EZ7" s="12"/>
      <c r="FA7" s="12"/>
      <c r="FB7" s="12"/>
      <c r="FC7" s="12"/>
      <c r="FD7" s="12"/>
      <c r="FE7" s="152"/>
      <c r="FF7" s="152"/>
      <c r="FG7" s="61"/>
      <c r="FH7" s="13"/>
      <c r="FI7" s="13"/>
      <c r="FJ7" s="13"/>
      <c r="FK7" s="60"/>
      <c r="FL7" s="99"/>
      <c r="FN7" s="163"/>
      <c r="FO7" s="161"/>
      <c r="FP7" s="63"/>
      <c r="FQ7" s="64"/>
      <c r="FR7" s="62"/>
      <c r="FS7" s="50"/>
      <c r="FT7" s="29"/>
      <c r="FU7" s="10"/>
      <c r="FV7" s="158"/>
      <c r="FW7" s="11"/>
      <c r="FX7" s="11"/>
      <c r="FY7" s="11"/>
      <c r="FZ7" s="12"/>
      <c r="GA7" s="12"/>
      <c r="GB7" s="12"/>
      <c r="GC7" s="12"/>
      <c r="GD7" s="12"/>
      <c r="GE7" s="152"/>
      <c r="GF7" s="152"/>
      <c r="GG7" s="61"/>
      <c r="GH7" s="13"/>
      <c r="GI7" s="13"/>
      <c r="GJ7" s="13"/>
      <c r="GK7" s="60"/>
      <c r="GL7" s="99"/>
      <c r="GN7" s="163"/>
      <c r="GO7" s="161"/>
      <c r="GP7" s="63"/>
      <c r="GQ7" s="64"/>
      <c r="GR7" s="62"/>
      <c r="GS7" s="50"/>
      <c r="GT7" s="29"/>
      <c r="GU7" s="10"/>
      <c r="GV7" s="158"/>
      <c r="GW7" s="11"/>
      <c r="GX7" s="11"/>
      <c r="GY7" s="11"/>
      <c r="GZ7" s="12"/>
      <c r="HA7" s="12"/>
      <c r="HB7" s="12"/>
      <c r="HC7" s="12"/>
      <c r="HD7" s="12"/>
      <c r="HE7" s="152"/>
      <c r="HF7" s="152"/>
      <c r="HG7" s="61"/>
      <c r="HH7" s="13"/>
      <c r="HI7" s="13"/>
      <c r="HJ7" s="13"/>
      <c r="HK7" s="60"/>
      <c r="HL7" s="99"/>
      <c r="HN7" s="163"/>
      <c r="HO7" s="161"/>
      <c r="HP7" s="63"/>
      <c r="HQ7" s="64"/>
      <c r="HR7" s="62"/>
      <c r="HS7" s="50"/>
      <c r="HT7" s="29"/>
      <c r="HU7" s="10"/>
      <c r="HV7" s="158"/>
      <c r="HW7" s="11"/>
      <c r="HX7" s="11"/>
      <c r="HY7" s="11"/>
      <c r="HZ7" s="12"/>
      <c r="IA7" s="12"/>
      <c r="IB7" s="12"/>
      <c r="IC7" s="12"/>
      <c r="ID7" s="12"/>
      <c r="IE7" s="152"/>
      <c r="IF7" s="152"/>
      <c r="IG7" s="61"/>
      <c r="IH7" s="13"/>
      <c r="II7" s="13"/>
      <c r="IJ7" s="13"/>
      <c r="IK7" s="60"/>
      <c r="IL7" s="99"/>
      <c r="IN7" s="163"/>
      <c r="IO7" s="161"/>
      <c r="IP7" s="63"/>
      <c r="IQ7" s="64"/>
      <c r="IR7" s="62"/>
      <c r="IS7" s="50"/>
      <c r="IT7" s="29"/>
      <c r="IU7" s="10"/>
      <c r="IV7" s="158"/>
      <c r="IW7" s="11"/>
      <c r="IX7" s="11"/>
      <c r="IY7" s="11"/>
      <c r="IZ7" s="12"/>
      <c r="JA7" s="12"/>
      <c r="JB7" s="12"/>
      <c r="JC7" s="12"/>
      <c r="JD7" s="12"/>
      <c r="JE7" s="152"/>
      <c r="JF7" s="152"/>
      <c r="JG7" s="61"/>
      <c r="JH7" s="13"/>
      <c r="JI7" s="13"/>
      <c r="JJ7" s="13"/>
      <c r="JK7" s="60"/>
      <c r="JL7" s="99"/>
      <c r="JN7" s="163"/>
      <c r="JO7" s="161"/>
      <c r="JP7" s="63"/>
      <c r="JQ7" s="64"/>
      <c r="JR7" s="62"/>
      <c r="JS7" s="50"/>
      <c r="JT7" s="29"/>
      <c r="JU7" s="10"/>
      <c r="JV7" s="158"/>
      <c r="JW7" s="11"/>
      <c r="JX7" s="11"/>
      <c r="JY7" s="11"/>
      <c r="JZ7" s="12"/>
      <c r="KA7" s="12"/>
      <c r="KB7" s="12"/>
      <c r="KC7" s="12"/>
      <c r="KD7" s="12"/>
      <c r="KE7" s="152"/>
      <c r="KF7" s="152"/>
      <c r="KG7" s="61"/>
      <c r="KH7" s="13"/>
      <c r="KI7" s="13"/>
      <c r="KJ7" s="13"/>
      <c r="KK7" s="60"/>
      <c r="KL7" s="99"/>
      <c r="KN7" s="163"/>
      <c r="KO7" s="161"/>
      <c r="KP7" s="63"/>
      <c r="KQ7" s="64"/>
      <c r="KR7" s="62"/>
      <c r="KS7" s="50"/>
      <c r="KT7" s="29"/>
      <c r="KU7" s="10"/>
      <c r="KV7" s="158"/>
      <c r="KW7" s="11"/>
      <c r="KX7" s="11"/>
      <c r="KY7" s="11"/>
      <c r="KZ7" s="12"/>
      <c r="LA7" s="12"/>
      <c r="LB7" s="12"/>
      <c r="LC7" s="12"/>
      <c r="LD7" s="12"/>
      <c r="LE7" s="152"/>
      <c r="LF7" s="152"/>
      <c r="LG7" s="61"/>
      <c r="LH7" s="13"/>
      <c r="LI7" s="13"/>
      <c r="LJ7" s="13"/>
      <c r="LK7" s="60"/>
      <c r="LL7" s="99"/>
      <c r="LO7" s="238"/>
    </row>
    <row r="8" spans="1:327" customFormat="1" ht="15" customHeight="1" x14ac:dyDescent="0.35">
      <c r="A8" s="52"/>
      <c r="B8" s="53"/>
      <c r="C8" s="73"/>
      <c r="D8" s="55"/>
      <c r="E8" s="281"/>
      <c r="F8" s="56"/>
      <c r="G8" s="289"/>
      <c r="H8" s="59"/>
      <c r="I8" s="54"/>
      <c r="J8" s="59"/>
      <c r="K8" s="273"/>
      <c r="L8" s="67"/>
      <c r="M8" s="164"/>
      <c r="N8" s="163"/>
      <c r="O8" s="161"/>
      <c r="P8" s="63"/>
      <c r="Q8" s="163"/>
      <c r="R8" s="62"/>
      <c r="S8" s="50"/>
      <c r="T8" s="29"/>
      <c r="U8" s="10"/>
      <c r="V8" s="158"/>
      <c r="W8" s="11"/>
      <c r="X8" s="11"/>
      <c r="Y8" s="11"/>
      <c r="Z8" s="12"/>
      <c r="AA8" s="12"/>
      <c r="AB8" s="12"/>
      <c r="AC8" s="12"/>
      <c r="AD8" s="12"/>
      <c r="AE8" s="152"/>
      <c r="AF8" s="152"/>
      <c r="AG8" s="61"/>
      <c r="AH8" s="13"/>
      <c r="AI8" s="13"/>
      <c r="AJ8" s="13"/>
      <c r="AK8" s="60"/>
      <c r="AL8" s="99"/>
      <c r="AN8" s="163"/>
      <c r="AO8" s="161"/>
      <c r="AP8" s="63"/>
      <c r="AQ8" s="64"/>
      <c r="AR8" s="62"/>
      <c r="AS8" s="50"/>
      <c r="AT8" s="29"/>
      <c r="AU8" s="10"/>
      <c r="AV8" s="158"/>
      <c r="AW8" s="11"/>
      <c r="AX8" s="11"/>
      <c r="AY8" s="11"/>
      <c r="AZ8" s="12"/>
      <c r="BA8" s="12"/>
      <c r="BB8" s="12"/>
      <c r="BC8" s="12"/>
      <c r="BD8" s="12"/>
      <c r="BE8" s="152"/>
      <c r="BF8" s="152"/>
      <c r="BG8" s="61"/>
      <c r="BH8" s="13"/>
      <c r="BI8" s="13"/>
      <c r="BJ8" s="13"/>
      <c r="BK8" s="60"/>
      <c r="BL8" s="99"/>
      <c r="BM8" s="14"/>
      <c r="BN8" s="163"/>
      <c r="BO8" s="161"/>
      <c r="BP8" s="63"/>
      <c r="BQ8" s="64"/>
      <c r="BR8" s="62"/>
      <c r="BS8" s="50"/>
      <c r="BT8" s="29"/>
      <c r="BU8" s="10"/>
      <c r="BV8" s="158"/>
      <c r="BW8" s="11"/>
      <c r="BX8" s="11"/>
      <c r="BY8" s="11"/>
      <c r="BZ8" s="12"/>
      <c r="CA8" s="12"/>
      <c r="CB8" s="12"/>
      <c r="CC8" s="12"/>
      <c r="CD8" s="12"/>
      <c r="CE8" s="152"/>
      <c r="CF8" s="152"/>
      <c r="CG8" s="61"/>
      <c r="CH8" s="13"/>
      <c r="CI8" s="13"/>
      <c r="CJ8" s="13"/>
      <c r="CK8" s="60"/>
      <c r="CL8" s="99"/>
      <c r="CN8" s="163"/>
      <c r="CO8" s="161"/>
      <c r="CP8" s="63"/>
      <c r="CQ8" s="64"/>
      <c r="CR8" s="62"/>
      <c r="CS8" s="50"/>
      <c r="CT8" s="29"/>
      <c r="CU8" s="10"/>
      <c r="CV8" s="158"/>
      <c r="CW8" s="11"/>
      <c r="CX8" s="11"/>
      <c r="CY8" s="11"/>
      <c r="CZ8" s="12"/>
      <c r="DA8" s="12"/>
      <c r="DB8" s="12"/>
      <c r="DC8" s="12"/>
      <c r="DD8" s="12"/>
      <c r="DE8" s="152"/>
      <c r="DF8" s="152"/>
      <c r="DG8" s="61"/>
      <c r="DH8" s="13"/>
      <c r="DI8" s="13"/>
      <c r="DJ8" s="13"/>
      <c r="DK8" s="60"/>
      <c r="DL8" s="99"/>
      <c r="DN8" s="163"/>
      <c r="DO8" s="161"/>
      <c r="DP8" s="63"/>
      <c r="DQ8" s="64"/>
      <c r="DR8" s="62"/>
      <c r="DS8" s="50"/>
      <c r="DT8" s="29"/>
      <c r="DU8" s="10"/>
      <c r="DV8" s="158"/>
      <c r="DW8" s="11"/>
      <c r="DX8" s="11"/>
      <c r="DY8" s="11"/>
      <c r="DZ8" s="12"/>
      <c r="EA8" s="12"/>
      <c r="EB8" s="12"/>
      <c r="EC8" s="12"/>
      <c r="ED8" s="12"/>
      <c r="EE8" s="152"/>
      <c r="EF8" s="152"/>
      <c r="EG8" s="61"/>
      <c r="EH8" s="13"/>
      <c r="EI8" s="13"/>
      <c r="EJ8" s="13"/>
      <c r="EK8" s="60"/>
      <c r="EL8" s="99"/>
      <c r="EN8" s="163"/>
      <c r="EO8" s="161"/>
      <c r="EP8" s="63"/>
      <c r="EQ8" s="64"/>
      <c r="ER8" s="62"/>
      <c r="ES8" s="50"/>
      <c r="ET8" s="29"/>
      <c r="EU8" s="10"/>
      <c r="EV8" s="158"/>
      <c r="EW8" s="11"/>
      <c r="EX8" s="11"/>
      <c r="EY8" s="11"/>
      <c r="EZ8" s="12"/>
      <c r="FA8" s="12"/>
      <c r="FB8" s="12"/>
      <c r="FC8" s="12"/>
      <c r="FD8" s="12"/>
      <c r="FE8" s="152"/>
      <c r="FF8" s="152"/>
      <c r="FG8" s="61"/>
      <c r="FH8" s="13"/>
      <c r="FI8" s="13"/>
      <c r="FJ8" s="13"/>
      <c r="FK8" s="60"/>
      <c r="FL8" s="99"/>
      <c r="FN8" s="163"/>
      <c r="FO8" s="161"/>
      <c r="FP8" s="63"/>
      <c r="FQ8" s="64"/>
      <c r="FR8" s="62"/>
      <c r="FS8" s="50"/>
      <c r="FT8" s="29"/>
      <c r="FU8" s="10"/>
      <c r="FV8" s="158"/>
      <c r="FW8" s="11"/>
      <c r="FX8" s="11"/>
      <c r="FY8" s="11"/>
      <c r="FZ8" s="12"/>
      <c r="GA8" s="12"/>
      <c r="GB8" s="12"/>
      <c r="GC8" s="12"/>
      <c r="GD8" s="12"/>
      <c r="GE8" s="152"/>
      <c r="GF8" s="152"/>
      <c r="GG8" s="61"/>
      <c r="GH8" s="13"/>
      <c r="GI8" s="13"/>
      <c r="GJ8" s="13"/>
      <c r="GK8" s="60"/>
      <c r="GL8" s="99"/>
      <c r="GN8" s="163"/>
      <c r="GO8" s="161"/>
      <c r="GP8" s="63"/>
      <c r="GQ8" s="64"/>
      <c r="GR8" s="62"/>
      <c r="GS8" s="50"/>
      <c r="GT8" s="29"/>
      <c r="GU8" s="10"/>
      <c r="GV8" s="158"/>
      <c r="GW8" s="11"/>
      <c r="GX8" s="11"/>
      <c r="GY8" s="11"/>
      <c r="GZ8" s="12"/>
      <c r="HA8" s="12"/>
      <c r="HB8" s="12"/>
      <c r="HC8" s="12"/>
      <c r="HD8" s="12"/>
      <c r="HE8" s="152"/>
      <c r="HF8" s="152"/>
      <c r="HG8" s="61"/>
      <c r="HH8" s="13"/>
      <c r="HI8" s="13"/>
      <c r="HJ8" s="13"/>
      <c r="HK8" s="60"/>
      <c r="HL8" s="99"/>
      <c r="HN8" s="163"/>
      <c r="HO8" s="161"/>
      <c r="HP8" s="63"/>
      <c r="HQ8" s="64"/>
      <c r="HR8" s="62"/>
      <c r="HS8" s="50"/>
      <c r="HT8" s="29"/>
      <c r="HU8" s="10"/>
      <c r="HV8" s="158"/>
      <c r="HW8" s="11"/>
      <c r="HX8" s="11"/>
      <c r="HY8" s="11"/>
      <c r="HZ8" s="12"/>
      <c r="IA8" s="12"/>
      <c r="IB8" s="12"/>
      <c r="IC8" s="12"/>
      <c r="ID8" s="12"/>
      <c r="IE8" s="152"/>
      <c r="IF8" s="152"/>
      <c r="IG8" s="61"/>
      <c r="IH8" s="13"/>
      <c r="II8" s="13"/>
      <c r="IJ8" s="13"/>
      <c r="IK8" s="60"/>
      <c r="IL8" s="99"/>
      <c r="IN8" s="163"/>
      <c r="IO8" s="161"/>
      <c r="IP8" s="63"/>
      <c r="IQ8" s="64"/>
      <c r="IR8" s="62"/>
      <c r="IS8" s="50"/>
      <c r="IT8" s="29"/>
      <c r="IU8" s="10"/>
      <c r="IV8" s="158"/>
      <c r="IW8" s="11"/>
      <c r="IX8" s="11"/>
      <c r="IY8" s="11"/>
      <c r="IZ8" s="12"/>
      <c r="JA8" s="12"/>
      <c r="JB8" s="12"/>
      <c r="JC8" s="12"/>
      <c r="JD8" s="12"/>
      <c r="JE8" s="152"/>
      <c r="JF8" s="152"/>
      <c r="JG8" s="61"/>
      <c r="JH8" s="13"/>
      <c r="JI8" s="13"/>
      <c r="JJ8" s="13"/>
      <c r="JK8" s="60"/>
      <c r="JL8" s="99"/>
      <c r="JN8" s="163"/>
      <c r="JO8" s="161"/>
      <c r="JP8" s="63"/>
      <c r="JQ8" s="64"/>
      <c r="JR8" s="62"/>
      <c r="JS8" s="50"/>
      <c r="JT8" s="29"/>
      <c r="JU8" s="10"/>
      <c r="JV8" s="158"/>
      <c r="JW8" s="11"/>
      <c r="JX8" s="11"/>
      <c r="JY8" s="11"/>
      <c r="JZ8" s="12"/>
      <c r="KA8" s="12"/>
      <c r="KB8" s="12"/>
      <c r="KC8" s="12"/>
      <c r="KD8" s="12"/>
      <c r="KE8" s="152"/>
      <c r="KF8" s="152"/>
      <c r="KG8" s="61"/>
      <c r="KH8" s="13"/>
      <c r="KI8" s="13"/>
      <c r="KJ8" s="13"/>
      <c r="KK8" s="60"/>
      <c r="KL8" s="99"/>
      <c r="KN8" s="163"/>
      <c r="KO8" s="161"/>
      <c r="KP8" s="63"/>
      <c r="KQ8" s="64"/>
      <c r="KR8" s="62"/>
      <c r="KS8" s="50"/>
      <c r="KT8" s="29"/>
      <c r="KU8" s="10"/>
      <c r="KV8" s="158"/>
      <c r="KW8" s="11"/>
      <c r="KX8" s="11"/>
      <c r="KY8" s="11"/>
      <c r="KZ8" s="12"/>
      <c r="LA8" s="12"/>
      <c r="LB8" s="12"/>
      <c r="LC8" s="12"/>
      <c r="LD8" s="12"/>
      <c r="LE8" s="152"/>
      <c r="LF8" s="152"/>
      <c r="LG8" s="61"/>
      <c r="LH8" s="13"/>
      <c r="LI8" s="13"/>
      <c r="LJ8" s="13"/>
      <c r="LK8" s="60"/>
      <c r="LL8" s="99"/>
      <c r="LO8" s="238"/>
    </row>
    <row r="9" spans="1:327" customFormat="1" ht="15" customHeight="1" x14ac:dyDescent="0.35">
      <c r="A9" s="52"/>
      <c r="B9" s="53"/>
      <c r="C9" s="73"/>
      <c r="D9" s="55"/>
      <c r="E9" s="281"/>
      <c r="F9" s="56"/>
      <c r="G9" s="129"/>
      <c r="H9" s="59"/>
      <c r="I9" s="54"/>
      <c r="J9" s="59"/>
      <c r="K9" s="273"/>
      <c r="L9" s="67"/>
      <c r="M9" s="164"/>
      <c r="N9" s="163"/>
      <c r="O9" s="161"/>
      <c r="P9" s="63"/>
      <c r="Q9" s="163"/>
      <c r="R9" s="62"/>
      <c r="S9" s="50"/>
      <c r="T9" s="29"/>
      <c r="U9" s="10"/>
      <c r="V9" s="276"/>
      <c r="W9" s="11"/>
      <c r="X9" s="11"/>
      <c r="Y9" s="11"/>
      <c r="Z9" s="12"/>
      <c r="AA9" s="12"/>
      <c r="AB9" s="12"/>
      <c r="AC9" s="12"/>
      <c r="AD9" s="12"/>
      <c r="AE9" s="152"/>
      <c r="AF9" s="152"/>
      <c r="AG9" s="61"/>
      <c r="AH9" s="13"/>
      <c r="AI9" s="13"/>
      <c r="AJ9" s="13"/>
      <c r="AK9" s="60"/>
      <c r="AL9" s="99"/>
      <c r="AN9" s="163"/>
      <c r="AO9" s="161"/>
      <c r="AP9" s="63"/>
      <c r="AQ9" s="64"/>
      <c r="AR9" s="62"/>
      <c r="AS9" s="50"/>
      <c r="AT9" s="29"/>
      <c r="AU9" s="10"/>
      <c r="AV9" s="287"/>
      <c r="AW9" s="11"/>
      <c r="AX9" s="11"/>
      <c r="AY9" s="11"/>
      <c r="AZ9" s="12"/>
      <c r="BA9" s="12"/>
      <c r="BB9" s="12"/>
      <c r="BC9" s="12"/>
      <c r="BD9" s="12"/>
      <c r="BE9" s="152"/>
      <c r="BF9" s="152"/>
      <c r="BG9" s="61"/>
      <c r="BH9" s="13"/>
      <c r="BI9" s="13"/>
      <c r="BJ9" s="13"/>
      <c r="BK9" s="60"/>
      <c r="BL9" s="99"/>
      <c r="BM9" s="14"/>
      <c r="BN9" s="163"/>
      <c r="BO9" s="161"/>
      <c r="BP9" s="63"/>
      <c r="BQ9" s="64"/>
      <c r="BR9" s="62"/>
      <c r="BS9" s="50"/>
      <c r="BT9" s="29"/>
      <c r="BU9" s="10"/>
      <c r="BV9" s="276"/>
      <c r="BW9" s="11"/>
      <c r="BX9" s="11"/>
      <c r="BY9" s="11"/>
      <c r="BZ9" s="12"/>
      <c r="CA9" s="12"/>
      <c r="CB9" s="12"/>
      <c r="CC9" s="12"/>
      <c r="CD9" s="12"/>
      <c r="CE9" s="152"/>
      <c r="CF9" s="152"/>
      <c r="CG9" s="61"/>
      <c r="CH9" s="13"/>
      <c r="CI9" s="13"/>
      <c r="CJ9" s="13"/>
      <c r="CK9" s="60"/>
      <c r="CL9" s="99"/>
      <c r="CN9" s="163"/>
      <c r="CO9" s="161"/>
      <c r="CP9" s="63"/>
      <c r="CQ9" s="64"/>
      <c r="CR9" s="62"/>
      <c r="CS9" s="50"/>
      <c r="CT9" s="29"/>
      <c r="CU9" s="10"/>
      <c r="CV9" s="158"/>
      <c r="CW9" s="11"/>
      <c r="CX9" s="11"/>
      <c r="CY9" s="11"/>
      <c r="CZ9" s="12"/>
      <c r="DA9" s="12"/>
      <c r="DB9" s="12"/>
      <c r="DC9" s="12"/>
      <c r="DD9" s="12"/>
      <c r="DE9" s="152"/>
      <c r="DF9" s="152"/>
      <c r="DG9" s="61"/>
      <c r="DH9" s="13"/>
      <c r="DI9" s="13"/>
      <c r="DJ9" s="13"/>
      <c r="DK9" s="60"/>
      <c r="DL9" s="99"/>
      <c r="DN9" s="163"/>
      <c r="DO9" s="161"/>
      <c r="DP9" s="63"/>
      <c r="DQ9" s="64"/>
      <c r="DR9" s="62"/>
      <c r="DS9" s="50"/>
      <c r="DT9" s="29"/>
      <c r="DU9" s="10"/>
      <c r="DV9" s="158"/>
      <c r="DW9" s="11"/>
      <c r="DX9" s="11"/>
      <c r="DY9" s="11"/>
      <c r="DZ9" s="12"/>
      <c r="EA9" s="12"/>
      <c r="EB9" s="12"/>
      <c r="EC9" s="12"/>
      <c r="ED9" s="12"/>
      <c r="EE9" s="152"/>
      <c r="EF9" s="152"/>
      <c r="EG9" s="61"/>
      <c r="EH9" s="13"/>
      <c r="EI9" s="13"/>
      <c r="EJ9" s="13"/>
      <c r="EK9" s="60"/>
      <c r="EL9" s="99"/>
      <c r="EN9" s="163"/>
      <c r="EO9" s="161"/>
      <c r="EP9" s="63"/>
      <c r="EQ9" s="64"/>
      <c r="ER9" s="62"/>
      <c r="ES9" s="50"/>
      <c r="ET9" s="29"/>
      <c r="EU9" s="10"/>
      <c r="EV9" s="158"/>
      <c r="EW9" s="11"/>
      <c r="EX9" s="11"/>
      <c r="EY9" s="11"/>
      <c r="EZ9" s="12"/>
      <c r="FA9" s="12"/>
      <c r="FB9" s="12"/>
      <c r="FC9" s="12"/>
      <c r="FD9" s="12"/>
      <c r="FE9" s="152"/>
      <c r="FF9" s="152"/>
      <c r="FG9" s="61"/>
      <c r="FH9" s="13"/>
      <c r="FI9" s="13"/>
      <c r="FJ9" s="13"/>
      <c r="FK9" s="60"/>
      <c r="FL9" s="99"/>
      <c r="FN9" s="163"/>
      <c r="FO9" s="161"/>
      <c r="FP9" s="63"/>
      <c r="FQ9" s="64"/>
      <c r="FR9" s="62"/>
      <c r="FS9" s="50"/>
      <c r="FT9" s="29"/>
      <c r="FU9" s="10"/>
      <c r="FV9" s="158"/>
      <c r="FW9" s="11"/>
      <c r="FX9" s="11"/>
      <c r="FY9" s="11"/>
      <c r="FZ9" s="12"/>
      <c r="GA9" s="12"/>
      <c r="GB9" s="12"/>
      <c r="GC9" s="12"/>
      <c r="GD9" s="12"/>
      <c r="GE9" s="152"/>
      <c r="GF9" s="152"/>
      <c r="GG9" s="61"/>
      <c r="GH9" s="13"/>
      <c r="GI9" s="13"/>
      <c r="GJ9" s="13"/>
      <c r="GK9" s="60"/>
      <c r="GL9" s="99"/>
      <c r="GN9" s="163"/>
      <c r="GO9" s="161"/>
      <c r="GP9" s="63"/>
      <c r="GQ9" s="64"/>
      <c r="GR9" s="62"/>
      <c r="GS9" s="50"/>
      <c r="GT9" s="29"/>
      <c r="GU9" s="10"/>
      <c r="GV9" s="158"/>
      <c r="GW9" s="11"/>
      <c r="GX9" s="11"/>
      <c r="GY9" s="11"/>
      <c r="GZ9" s="12"/>
      <c r="HA9" s="12"/>
      <c r="HB9" s="12"/>
      <c r="HC9" s="12"/>
      <c r="HD9" s="12"/>
      <c r="HE9" s="152"/>
      <c r="HF9" s="152"/>
      <c r="HG9" s="61"/>
      <c r="HH9" s="13"/>
      <c r="HI9" s="13"/>
      <c r="HJ9" s="13"/>
      <c r="HK9" s="60"/>
      <c r="HL9" s="99"/>
      <c r="HN9" s="163"/>
      <c r="HO9" s="161"/>
      <c r="HP9" s="63"/>
      <c r="HQ9" s="64"/>
      <c r="HR9" s="62"/>
      <c r="HS9" s="50"/>
      <c r="HT9" s="29"/>
      <c r="HU9" s="10"/>
      <c r="HV9" s="158"/>
      <c r="HW9" s="11"/>
      <c r="HX9" s="11"/>
      <c r="HY9" s="11"/>
      <c r="HZ9" s="12"/>
      <c r="IA9" s="12"/>
      <c r="IB9" s="12"/>
      <c r="IC9" s="12"/>
      <c r="ID9" s="12"/>
      <c r="IE9" s="152"/>
      <c r="IF9" s="152"/>
      <c r="IG9" s="61"/>
      <c r="IH9" s="13"/>
      <c r="II9" s="13"/>
      <c r="IJ9" s="13"/>
      <c r="IK9" s="60"/>
      <c r="IL9" s="99"/>
      <c r="IN9" s="163"/>
      <c r="IO9" s="161"/>
      <c r="IP9" s="63"/>
      <c r="IQ9" s="64"/>
      <c r="IR9" s="62"/>
      <c r="IS9" s="50"/>
      <c r="IT9" s="29"/>
      <c r="IU9" s="10"/>
      <c r="IV9" s="158"/>
      <c r="IW9" s="11"/>
      <c r="IX9" s="11"/>
      <c r="IY9" s="11"/>
      <c r="IZ9" s="12"/>
      <c r="JA9" s="12"/>
      <c r="JB9" s="12"/>
      <c r="JC9" s="12"/>
      <c r="JD9" s="12"/>
      <c r="JE9" s="152"/>
      <c r="JF9" s="152"/>
      <c r="JG9" s="61"/>
      <c r="JH9" s="13"/>
      <c r="JI9" s="13"/>
      <c r="JJ9" s="13"/>
      <c r="JK9" s="60"/>
      <c r="JL9" s="99"/>
      <c r="JN9" s="163"/>
      <c r="JO9" s="161"/>
      <c r="JP9" s="63"/>
      <c r="JQ9" s="64"/>
      <c r="JR9" s="62"/>
      <c r="JS9" s="50"/>
      <c r="JT9" s="29"/>
      <c r="JU9" s="10"/>
      <c r="JV9" s="158"/>
      <c r="JW9" s="11"/>
      <c r="JX9" s="11"/>
      <c r="JY9" s="11"/>
      <c r="JZ9" s="12"/>
      <c r="KA9" s="12"/>
      <c r="KB9" s="12"/>
      <c r="KC9" s="12"/>
      <c r="KD9" s="12"/>
      <c r="KE9" s="152"/>
      <c r="KF9" s="152"/>
      <c r="KG9" s="61"/>
      <c r="KH9" s="13"/>
      <c r="KI9" s="13"/>
      <c r="KJ9" s="13"/>
      <c r="KK9" s="60"/>
      <c r="KL9" s="99"/>
      <c r="KN9" s="163"/>
      <c r="KO9" s="161"/>
      <c r="KP9" s="63"/>
      <c r="KQ9" s="64"/>
      <c r="KR9" s="62"/>
      <c r="KS9" s="50"/>
      <c r="KT9" s="29"/>
      <c r="KU9" s="10"/>
      <c r="KV9" s="158"/>
      <c r="KW9" s="11"/>
      <c r="KX9" s="11"/>
      <c r="KY9" s="11"/>
      <c r="KZ9" s="12"/>
      <c r="LA9" s="12"/>
      <c r="LB9" s="12"/>
      <c r="LC9" s="12"/>
      <c r="LD9" s="12"/>
      <c r="LE9" s="152"/>
      <c r="LF9" s="152"/>
      <c r="LG9" s="61"/>
      <c r="LH9" s="13"/>
      <c r="LI9" s="13"/>
      <c r="LJ9" s="13"/>
      <c r="LK9" s="60"/>
      <c r="LL9" s="99"/>
      <c r="LO9" s="238"/>
    </row>
    <row r="10" spans="1:327" customFormat="1" ht="15" customHeight="1" x14ac:dyDescent="0.35">
      <c r="A10" s="52"/>
      <c r="B10" s="53"/>
      <c r="C10" s="73"/>
      <c r="D10" s="55"/>
      <c r="E10" s="281"/>
      <c r="F10" s="56"/>
      <c r="G10" s="129"/>
      <c r="H10" s="59"/>
      <c r="I10" s="54"/>
      <c r="J10" s="59"/>
      <c r="K10" s="273"/>
      <c r="L10" s="67"/>
      <c r="M10" s="164"/>
      <c r="N10" s="163"/>
      <c r="O10" s="161"/>
      <c r="P10" s="63"/>
      <c r="Q10" s="163"/>
      <c r="R10" s="62"/>
      <c r="S10" s="50"/>
      <c r="T10" s="29"/>
      <c r="U10" s="10"/>
      <c r="V10" s="158"/>
      <c r="W10" s="11"/>
      <c r="X10" s="11"/>
      <c r="Y10" s="11"/>
      <c r="Z10" s="12"/>
      <c r="AA10" s="12"/>
      <c r="AB10" s="12"/>
      <c r="AC10" s="12"/>
      <c r="AD10" s="12"/>
      <c r="AE10" s="152"/>
      <c r="AF10" s="152"/>
      <c r="AG10" s="61"/>
      <c r="AH10" s="13"/>
      <c r="AI10" s="13"/>
      <c r="AJ10" s="13"/>
      <c r="AK10" s="60"/>
      <c r="AL10" s="99"/>
      <c r="AN10" s="163"/>
      <c r="AO10" s="161"/>
      <c r="AP10" s="63"/>
      <c r="AQ10" s="64"/>
      <c r="AR10" s="62"/>
      <c r="AS10" s="50"/>
      <c r="AT10" s="29"/>
      <c r="AU10" s="10"/>
      <c r="AV10" s="158"/>
      <c r="AW10" s="11"/>
      <c r="AX10" s="11"/>
      <c r="AY10" s="11"/>
      <c r="AZ10" s="12"/>
      <c r="BA10" s="12"/>
      <c r="BB10" s="12"/>
      <c r="BC10" s="12"/>
      <c r="BD10" s="12"/>
      <c r="BE10" s="152"/>
      <c r="BF10" s="152"/>
      <c r="BG10" s="61"/>
      <c r="BH10" s="13"/>
      <c r="BI10" s="13"/>
      <c r="BJ10" s="13"/>
      <c r="BK10" s="60"/>
      <c r="BL10" s="99"/>
      <c r="BM10" s="14"/>
      <c r="BN10" s="163"/>
      <c r="BO10" s="161"/>
      <c r="BP10" s="63"/>
      <c r="BQ10" s="64"/>
      <c r="BR10" s="62"/>
      <c r="BS10" s="50"/>
      <c r="BT10" s="29"/>
      <c r="BU10" s="10"/>
      <c r="BV10" s="158"/>
      <c r="BW10" s="11"/>
      <c r="BX10" s="11"/>
      <c r="BY10" s="11"/>
      <c r="BZ10" s="12"/>
      <c r="CA10" s="12"/>
      <c r="CB10" s="12"/>
      <c r="CC10" s="12"/>
      <c r="CD10" s="12"/>
      <c r="CE10" s="152"/>
      <c r="CF10" s="152"/>
      <c r="CG10" s="61"/>
      <c r="CH10" s="13"/>
      <c r="CI10" s="13"/>
      <c r="CJ10" s="13"/>
      <c r="CK10" s="60"/>
      <c r="CL10" s="99"/>
      <c r="CN10" s="163"/>
      <c r="CO10" s="161"/>
      <c r="CP10" s="63"/>
      <c r="CQ10" s="64"/>
      <c r="CR10" s="62"/>
      <c r="CS10" s="50"/>
      <c r="CT10" s="29"/>
      <c r="CU10" s="10"/>
      <c r="CV10" s="158"/>
      <c r="CW10" s="11"/>
      <c r="CX10" s="11"/>
      <c r="CY10" s="11"/>
      <c r="CZ10" s="12"/>
      <c r="DA10" s="12"/>
      <c r="DB10" s="12"/>
      <c r="DC10" s="12"/>
      <c r="DD10" s="12"/>
      <c r="DE10" s="152"/>
      <c r="DF10" s="152"/>
      <c r="DG10" s="61"/>
      <c r="DH10" s="13"/>
      <c r="DI10" s="13"/>
      <c r="DJ10" s="13"/>
      <c r="DK10" s="60"/>
      <c r="DL10" s="99"/>
      <c r="DN10" s="163"/>
      <c r="DO10" s="161"/>
      <c r="DP10" s="63"/>
      <c r="DQ10" s="64"/>
      <c r="DR10" s="62"/>
      <c r="DS10" s="50"/>
      <c r="DT10" s="29"/>
      <c r="DU10" s="10"/>
      <c r="DV10" s="158"/>
      <c r="DW10" s="11"/>
      <c r="DX10" s="11"/>
      <c r="DY10" s="11"/>
      <c r="DZ10" s="12"/>
      <c r="EA10" s="12"/>
      <c r="EB10" s="12"/>
      <c r="EC10" s="12"/>
      <c r="ED10" s="12"/>
      <c r="EE10" s="152"/>
      <c r="EF10" s="152"/>
      <c r="EG10" s="61"/>
      <c r="EH10" s="13"/>
      <c r="EI10" s="13"/>
      <c r="EJ10" s="13"/>
      <c r="EK10" s="60"/>
      <c r="EL10" s="99"/>
      <c r="EN10" s="163"/>
      <c r="EO10" s="161"/>
      <c r="EP10" s="63"/>
      <c r="EQ10" s="64"/>
      <c r="ER10" s="62"/>
      <c r="ES10" s="50"/>
      <c r="ET10" s="29"/>
      <c r="EU10" s="10"/>
      <c r="EV10" s="158"/>
      <c r="EW10" s="11"/>
      <c r="EX10" s="11"/>
      <c r="EY10" s="11"/>
      <c r="EZ10" s="12"/>
      <c r="FA10" s="12"/>
      <c r="FB10" s="12"/>
      <c r="FC10" s="12"/>
      <c r="FD10" s="12"/>
      <c r="FE10" s="152"/>
      <c r="FF10" s="152"/>
      <c r="FG10" s="61"/>
      <c r="FH10" s="13"/>
      <c r="FI10" s="13"/>
      <c r="FJ10" s="13"/>
      <c r="FK10" s="60"/>
      <c r="FL10" s="99"/>
      <c r="FN10" s="163"/>
      <c r="FO10" s="161"/>
      <c r="FP10" s="63"/>
      <c r="FQ10" s="64"/>
      <c r="FR10" s="62"/>
      <c r="FS10" s="50"/>
      <c r="FT10" s="29"/>
      <c r="FU10" s="10"/>
      <c r="FV10" s="158"/>
      <c r="FW10" s="11"/>
      <c r="FX10" s="11"/>
      <c r="FY10" s="11"/>
      <c r="FZ10" s="12"/>
      <c r="GA10" s="12"/>
      <c r="GB10" s="12"/>
      <c r="GC10" s="12"/>
      <c r="GD10" s="12"/>
      <c r="GE10" s="152"/>
      <c r="GF10" s="152"/>
      <c r="GG10" s="61"/>
      <c r="GH10" s="13"/>
      <c r="GI10" s="13"/>
      <c r="GJ10" s="13"/>
      <c r="GK10" s="60"/>
      <c r="GL10" s="99"/>
      <c r="GN10" s="163"/>
      <c r="GO10" s="161"/>
      <c r="GP10" s="63"/>
      <c r="GQ10" s="64"/>
      <c r="GR10" s="62"/>
      <c r="GS10" s="50"/>
      <c r="GT10" s="29"/>
      <c r="GU10" s="10"/>
      <c r="GV10" s="158"/>
      <c r="GW10" s="11"/>
      <c r="GX10" s="11"/>
      <c r="GY10" s="11"/>
      <c r="GZ10" s="12"/>
      <c r="HA10" s="12"/>
      <c r="HB10" s="12"/>
      <c r="HC10" s="12"/>
      <c r="HD10" s="12"/>
      <c r="HE10" s="152"/>
      <c r="HF10" s="152"/>
      <c r="HG10" s="61"/>
      <c r="HH10" s="13"/>
      <c r="HI10" s="13"/>
      <c r="HJ10" s="13"/>
      <c r="HK10" s="60"/>
      <c r="HL10" s="99"/>
      <c r="HN10" s="163"/>
      <c r="HO10" s="161"/>
      <c r="HP10" s="63"/>
      <c r="HQ10" s="64"/>
      <c r="HR10" s="62"/>
      <c r="HS10" s="50"/>
      <c r="HT10" s="29"/>
      <c r="HU10" s="10"/>
      <c r="HV10" s="158"/>
      <c r="HW10" s="11"/>
      <c r="HX10" s="11"/>
      <c r="HY10" s="11"/>
      <c r="HZ10" s="12"/>
      <c r="IA10" s="12"/>
      <c r="IB10" s="12"/>
      <c r="IC10" s="12"/>
      <c r="ID10" s="12"/>
      <c r="IE10" s="152"/>
      <c r="IF10" s="152"/>
      <c r="IG10" s="61"/>
      <c r="IH10" s="13"/>
      <c r="II10" s="13"/>
      <c r="IJ10" s="13"/>
      <c r="IK10" s="60"/>
      <c r="IL10" s="99"/>
      <c r="IN10" s="163"/>
      <c r="IO10" s="161"/>
      <c r="IP10" s="63"/>
      <c r="IQ10" s="64"/>
      <c r="IR10" s="62"/>
      <c r="IS10" s="50"/>
      <c r="IT10" s="29"/>
      <c r="IU10" s="10"/>
      <c r="IV10" s="158"/>
      <c r="IW10" s="11"/>
      <c r="IX10" s="11"/>
      <c r="IY10" s="11"/>
      <c r="IZ10" s="12"/>
      <c r="JA10" s="12"/>
      <c r="JB10" s="12"/>
      <c r="JC10" s="12"/>
      <c r="JD10" s="12"/>
      <c r="JE10" s="152"/>
      <c r="JF10" s="152"/>
      <c r="JG10" s="61"/>
      <c r="JH10" s="13"/>
      <c r="JI10" s="13"/>
      <c r="JJ10" s="13"/>
      <c r="JK10" s="60"/>
      <c r="JL10" s="99"/>
      <c r="JN10" s="163"/>
      <c r="JO10" s="161"/>
      <c r="JP10" s="63"/>
      <c r="JQ10" s="64"/>
      <c r="JR10" s="62"/>
      <c r="JS10" s="50"/>
      <c r="JT10" s="29"/>
      <c r="JU10" s="10"/>
      <c r="JV10" s="158"/>
      <c r="JW10" s="11"/>
      <c r="JX10" s="11"/>
      <c r="JY10" s="11"/>
      <c r="JZ10" s="12"/>
      <c r="KA10" s="12"/>
      <c r="KB10" s="12"/>
      <c r="KC10" s="12"/>
      <c r="KD10" s="12"/>
      <c r="KE10" s="152"/>
      <c r="KF10" s="152"/>
      <c r="KG10" s="61"/>
      <c r="KH10" s="13"/>
      <c r="KI10" s="13"/>
      <c r="KJ10" s="13"/>
      <c r="KK10" s="60"/>
      <c r="KL10" s="99"/>
      <c r="KN10" s="163"/>
      <c r="KO10" s="161"/>
      <c r="KP10" s="63"/>
      <c r="KQ10" s="64"/>
      <c r="KR10" s="62"/>
      <c r="KS10" s="50"/>
      <c r="KT10" s="29"/>
      <c r="KU10" s="10"/>
      <c r="KV10" s="158"/>
      <c r="KW10" s="11"/>
      <c r="KX10" s="11"/>
      <c r="KY10" s="11"/>
      <c r="KZ10" s="12"/>
      <c r="LA10" s="12"/>
      <c r="LB10" s="12"/>
      <c r="LC10" s="12"/>
      <c r="LD10" s="12"/>
      <c r="LE10" s="152"/>
      <c r="LF10" s="152"/>
      <c r="LG10" s="61"/>
      <c r="LH10" s="13"/>
      <c r="LI10" s="13"/>
      <c r="LJ10" s="13"/>
      <c r="LK10" s="60"/>
      <c r="LL10" s="99"/>
      <c r="LO10" s="238"/>
    </row>
    <row r="11" spans="1:327" customFormat="1" ht="15" customHeight="1" x14ac:dyDescent="0.35">
      <c r="A11" s="52"/>
      <c r="B11" s="53"/>
      <c r="C11" s="73"/>
      <c r="D11" s="55"/>
      <c r="E11" s="281"/>
      <c r="F11" s="56"/>
      <c r="G11" s="129"/>
      <c r="H11" s="59"/>
      <c r="I11" s="54"/>
      <c r="J11" s="59"/>
      <c r="K11" s="273"/>
      <c r="L11" s="67"/>
      <c r="M11" s="164"/>
      <c r="N11" s="163"/>
      <c r="O11" s="161"/>
      <c r="P11" s="63"/>
      <c r="Q11" s="163"/>
      <c r="R11" s="62"/>
      <c r="S11" s="50"/>
      <c r="T11" s="29"/>
      <c r="U11" s="10"/>
      <c r="V11" s="158"/>
      <c r="W11" s="11"/>
      <c r="X11" s="11"/>
      <c r="Y11" s="11"/>
      <c r="Z11" s="12"/>
      <c r="AA11" s="12"/>
      <c r="AB11" s="12"/>
      <c r="AC11" s="12"/>
      <c r="AD11" s="12"/>
      <c r="AE11" s="152"/>
      <c r="AF11" s="152"/>
      <c r="AG11" s="61"/>
      <c r="AH11" s="13"/>
      <c r="AI11" s="13"/>
      <c r="AJ11" s="13"/>
      <c r="AK11" s="60"/>
      <c r="AL11" s="99"/>
      <c r="AN11" s="163"/>
      <c r="AO11" s="161"/>
      <c r="AP11" s="63"/>
      <c r="AQ11" s="64"/>
      <c r="AR11" s="62"/>
      <c r="AS11" s="50"/>
      <c r="AT11" s="29"/>
      <c r="AU11" s="10"/>
      <c r="AV11" s="158"/>
      <c r="AW11" s="11"/>
      <c r="AX11" s="11"/>
      <c r="AY11" s="11"/>
      <c r="AZ11" s="12"/>
      <c r="BA11" s="12"/>
      <c r="BB11" s="12"/>
      <c r="BC11" s="12"/>
      <c r="BD11" s="12"/>
      <c r="BE11" s="152"/>
      <c r="BF11" s="152"/>
      <c r="BG11" s="61"/>
      <c r="BH11" s="13"/>
      <c r="BI11" s="13"/>
      <c r="BJ11" s="13"/>
      <c r="BK11" s="60"/>
      <c r="BL11" s="99"/>
      <c r="BM11" s="14"/>
      <c r="BN11" s="163"/>
      <c r="BO11" s="161"/>
      <c r="BP11" s="63"/>
      <c r="BQ11" s="64"/>
      <c r="BR11" s="62"/>
      <c r="BS11" s="50"/>
      <c r="BT11" s="29"/>
      <c r="BU11" s="10"/>
      <c r="BV11" s="158"/>
      <c r="BW11" s="11"/>
      <c r="BX11" s="11"/>
      <c r="BY11" s="11"/>
      <c r="BZ11" s="12"/>
      <c r="CA11" s="12"/>
      <c r="CB11" s="12"/>
      <c r="CC11" s="12"/>
      <c r="CD11" s="12"/>
      <c r="CE11" s="152"/>
      <c r="CF11" s="152"/>
      <c r="CG11" s="61"/>
      <c r="CH11" s="13"/>
      <c r="CI11" s="13"/>
      <c r="CJ11" s="13"/>
      <c r="CK11" s="60"/>
      <c r="CL11" s="99"/>
      <c r="CN11" s="163"/>
      <c r="CO11" s="161"/>
      <c r="CP11" s="63"/>
      <c r="CQ11" s="64"/>
      <c r="CR11" s="62"/>
      <c r="CS11" s="50"/>
      <c r="CT11" s="29"/>
      <c r="CU11" s="10"/>
      <c r="CV11" s="158"/>
      <c r="CW11" s="11"/>
      <c r="CX11" s="11"/>
      <c r="CY11" s="11"/>
      <c r="CZ11" s="12"/>
      <c r="DA11" s="12"/>
      <c r="DB11" s="12"/>
      <c r="DC11" s="12"/>
      <c r="DD11" s="12"/>
      <c r="DE11" s="152"/>
      <c r="DF11" s="152"/>
      <c r="DG11" s="61"/>
      <c r="DH11" s="13"/>
      <c r="DI11" s="13"/>
      <c r="DJ11" s="13"/>
      <c r="DK11" s="60"/>
      <c r="DL11" s="99"/>
      <c r="DN11" s="163"/>
      <c r="DO11" s="161"/>
      <c r="DP11" s="63"/>
      <c r="DQ11" s="64"/>
      <c r="DR11" s="62"/>
      <c r="DS11" s="50"/>
      <c r="DT11" s="29"/>
      <c r="DU11" s="10"/>
      <c r="DV11" s="158"/>
      <c r="DW11" s="11"/>
      <c r="DX11" s="11"/>
      <c r="DY11" s="11"/>
      <c r="DZ11" s="12"/>
      <c r="EA11" s="12"/>
      <c r="EB11" s="12"/>
      <c r="EC11" s="12"/>
      <c r="ED11" s="12"/>
      <c r="EE11" s="152"/>
      <c r="EF11" s="152"/>
      <c r="EG11" s="61"/>
      <c r="EH11" s="13"/>
      <c r="EI11" s="13"/>
      <c r="EJ11" s="13"/>
      <c r="EK11" s="60"/>
      <c r="EL11" s="99"/>
      <c r="EN11" s="163"/>
      <c r="EO11" s="161"/>
      <c r="EP11" s="63"/>
      <c r="EQ11" s="64"/>
      <c r="ER11" s="62"/>
      <c r="ES11" s="50"/>
      <c r="ET11" s="29"/>
      <c r="EU11" s="10"/>
      <c r="EV11" s="158"/>
      <c r="EW11" s="11"/>
      <c r="EX11" s="11"/>
      <c r="EY11" s="11"/>
      <c r="EZ11" s="12"/>
      <c r="FA11" s="12"/>
      <c r="FB11" s="12"/>
      <c r="FC11" s="12"/>
      <c r="FD11" s="12"/>
      <c r="FE11" s="152"/>
      <c r="FF11" s="152"/>
      <c r="FG11" s="61"/>
      <c r="FH11" s="13"/>
      <c r="FI11" s="13"/>
      <c r="FJ11" s="13"/>
      <c r="FK11" s="60"/>
      <c r="FL11" s="99"/>
      <c r="FN11" s="163"/>
      <c r="FO11" s="161"/>
      <c r="FP11" s="63"/>
      <c r="FQ11" s="64"/>
      <c r="FR11" s="62"/>
      <c r="FS11" s="50"/>
      <c r="FT11" s="29"/>
      <c r="FU11" s="10"/>
      <c r="FV11" s="158"/>
      <c r="FW11" s="11"/>
      <c r="FX11" s="11"/>
      <c r="FY11" s="11"/>
      <c r="FZ11" s="12"/>
      <c r="GA11" s="12"/>
      <c r="GB11" s="12"/>
      <c r="GC11" s="12"/>
      <c r="GD11" s="12"/>
      <c r="GE11" s="152"/>
      <c r="GF11" s="152"/>
      <c r="GG11" s="61"/>
      <c r="GH11" s="13"/>
      <c r="GI11" s="13"/>
      <c r="GJ11" s="13"/>
      <c r="GK11" s="60"/>
      <c r="GL11" s="99"/>
      <c r="GN11" s="163"/>
      <c r="GO11" s="161"/>
      <c r="GP11" s="63"/>
      <c r="GQ11" s="64"/>
      <c r="GR11" s="62"/>
      <c r="GS11" s="50"/>
      <c r="GT11" s="29"/>
      <c r="GU11" s="10"/>
      <c r="GV11" s="158"/>
      <c r="GW11" s="11"/>
      <c r="GX11" s="11"/>
      <c r="GY11" s="11"/>
      <c r="GZ11" s="12"/>
      <c r="HA11" s="12"/>
      <c r="HB11" s="12"/>
      <c r="HC11" s="12"/>
      <c r="HD11" s="12"/>
      <c r="HE11" s="152"/>
      <c r="HF11" s="152"/>
      <c r="HG11" s="61"/>
      <c r="HH11" s="13"/>
      <c r="HI11" s="13"/>
      <c r="HJ11" s="13"/>
      <c r="HK11" s="60"/>
      <c r="HL11" s="99"/>
      <c r="HN11" s="163"/>
      <c r="HO11" s="161"/>
      <c r="HP11" s="63"/>
      <c r="HQ11" s="64"/>
      <c r="HR11" s="62"/>
      <c r="HS11" s="50"/>
      <c r="HT11" s="29"/>
      <c r="HU11" s="10"/>
      <c r="HV11" s="158"/>
      <c r="HW11" s="11"/>
      <c r="HX11" s="11"/>
      <c r="HY11" s="11"/>
      <c r="HZ11" s="12"/>
      <c r="IA11" s="12"/>
      <c r="IB11" s="12"/>
      <c r="IC11" s="12"/>
      <c r="ID11" s="12"/>
      <c r="IE11" s="152"/>
      <c r="IF11" s="152"/>
      <c r="IG11" s="61"/>
      <c r="IH11" s="13"/>
      <c r="II11" s="13"/>
      <c r="IJ11" s="13"/>
      <c r="IK11" s="60"/>
      <c r="IL11" s="99"/>
      <c r="IN11" s="163"/>
      <c r="IO11" s="161"/>
      <c r="IP11" s="63"/>
      <c r="IQ11" s="64"/>
      <c r="IR11" s="62"/>
      <c r="IS11" s="50"/>
      <c r="IT11" s="29"/>
      <c r="IU11" s="10"/>
      <c r="IV11" s="158"/>
      <c r="IW11" s="11"/>
      <c r="IX11" s="11"/>
      <c r="IY11" s="11"/>
      <c r="IZ11" s="12"/>
      <c r="JA11" s="12"/>
      <c r="JB11" s="12"/>
      <c r="JC11" s="12"/>
      <c r="JD11" s="12"/>
      <c r="JE11" s="152"/>
      <c r="JF11" s="152"/>
      <c r="JG11" s="61"/>
      <c r="JH11" s="13"/>
      <c r="JI11" s="13"/>
      <c r="JJ11" s="13"/>
      <c r="JK11" s="60"/>
      <c r="JL11" s="99"/>
      <c r="JN11" s="163"/>
      <c r="JO11" s="161"/>
      <c r="JP11" s="63"/>
      <c r="JQ11" s="64"/>
      <c r="JR11" s="62"/>
      <c r="JS11" s="50"/>
      <c r="JT11" s="29"/>
      <c r="JU11" s="10"/>
      <c r="JV11" s="158"/>
      <c r="JW11" s="11"/>
      <c r="JX11" s="11"/>
      <c r="JY11" s="11"/>
      <c r="JZ11" s="12"/>
      <c r="KA11" s="12"/>
      <c r="KB11" s="12"/>
      <c r="KC11" s="12"/>
      <c r="KD11" s="12"/>
      <c r="KE11" s="152"/>
      <c r="KF11" s="152"/>
      <c r="KG11" s="61"/>
      <c r="KH11" s="13"/>
      <c r="KI11" s="13"/>
      <c r="KJ11" s="13"/>
      <c r="KK11" s="60"/>
      <c r="KL11" s="99"/>
      <c r="KN11" s="163"/>
      <c r="KO11" s="161"/>
      <c r="KP11" s="63"/>
      <c r="KQ11" s="64"/>
      <c r="KR11" s="62"/>
      <c r="KS11" s="50"/>
      <c r="KT11" s="29"/>
      <c r="KU11" s="10"/>
      <c r="KV11" s="158"/>
      <c r="KW11" s="11"/>
      <c r="KX11" s="11"/>
      <c r="KY11" s="11"/>
      <c r="KZ11" s="12"/>
      <c r="LA11" s="12"/>
      <c r="LB11" s="12"/>
      <c r="LC11" s="12"/>
      <c r="LD11" s="12"/>
      <c r="LE11" s="152"/>
      <c r="LF11" s="152"/>
      <c r="LG11" s="61"/>
      <c r="LH11" s="13"/>
      <c r="LI11" s="13"/>
      <c r="LJ11" s="13"/>
      <c r="LK11" s="60"/>
      <c r="LL11" s="99"/>
      <c r="LO11" s="238"/>
    </row>
    <row r="12" spans="1:327" customFormat="1" ht="15" customHeight="1" x14ac:dyDescent="0.35">
      <c r="A12" s="52"/>
      <c r="B12" s="53"/>
      <c r="C12" s="73"/>
      <c r="D12" s="55"/>
      <c r="E12" s="281"/>
      <c r="F12" s="56"/>
      <c r="G12" s="129"/>
      <c r="H12" s="59"/>
      <c r="I12" s="54"/>
      <c r="J12" s="59"/>
      <c r="K12" s="273"/>
      <c r="L12" s="67"/>
      <c r="M12" s="164"/>
      <c r="N12" s="163"/>
      <c r="O12" s="161"/>
      <c r="P12" s="63"/>
      <c r="Q12" s="163"/>
      <c r="R12" s="62"/>
      <c r="S12" s="50"/>
      <c r="T12" s="29"/>
      <c r="U12" s="10"/>
      <c r="V12" s="158"/>
      <c r="W12" s="11"/>
      <c r="X12" s="11"/>
      <c r="Y12" s="11"/>
      <c r="Z12" s="12"/>
      <c r="AA12" s="12"/>
      <c r="AB12" s="12"/>
      <c r="AC12" s="12"/>
      <c r="AD12" s="12"/>
      <c r="AE12" s="152"/>
      <c r="AF12" s="152"/>
      <c r="AG12" s="61"/>
      <c r="AH12" s="13"/>
      <c r="AI12" s="13"/>
      <c r="AJ12" s="13"/>
      <c r="AK12" s="60"/>
      <c r="AL12" s="99"/>
      <c r="AN12" s="163"/>
      <c r="AO12" s="161"/>
      <c r="AP12" s="63"/>
      <c r="AQ12" s="64"/>
      <c r="AR12" s="62"/>
      <c r="AS12" s="50"/>
      <c r="AT12" s="29"/>
      <c r="AU12" s="10"/>
      <c r="AV12" s="158"/>
      <c r="AW12" s="11"/>
      <c r="AX12" s="11"/>
      <c r="AY12" s="11"/>
      <c r="AZ12" s="12"/>
      <c r="BA12" s="12"/>
      <c r="BB12" s="12"/>
      <c r="BC12" s="12"/>
      <c r="BD12" s="12"/>
      <c r="BE12" s="152"/>
      <c r="BF12" s="152"/>
      <c r="BG12" s="61"/>
      <c r="BH12" s="13"/>
      <c r="BI12" s="13"/>
      <c r="BJ12" s="13"/>
      <c r="BK12" s="60"/>
      <c r="BL12" s="99"/>
      <c r="BM12" s="14"/>
      <c r="BN12" s="163"/>
      <c r="BO12" s="161"/>
      <c r="BP12" s="63"/>
      <c r="BQ12" s="64"/>
      <c r="BR12" s="62"/>
      <c r="BS12" s="50"/>
      <c r="BT12" s="29"/>
      <c r="BU12" s="10"/>
      <c r="BV12" s="158"/>
      <c r="BW12" s="11"/>
      <c r="BX12" s="11"/>
      <c r="BY12" s="11"/>
      <c r="BZ12" s="12"/>
      <c r="CA12" s="12"/>
      <c r="CB12" s="12"/>
      <c r="CC12" s="12"/>
      <c r="CD12" s="12"/>
      <c r="CE12" s="152"/>
      <c r="CF12" s="152"/>
      <c r="CG12" s="61"/>
      <c r="CH12" s="13"/>
      <c r="CI12" s="13"/>
      <c r="CJ12" s="13"/>
      <c r="CK12" s="60"/>
      <c r="CL12" s="99"/>
      <c r="CN12" s="163"/>
      <c r="CO12" s="161"/>
      <c r="CP12" s="63"/>
      <c r="CQ12" s="64"/>
      <c r="CR12" s="62"/>
      <c r="CS12" s="50"/>
      <c r="CT12" s="29"/>
      <c r="CU12" s="10"/>
      <c r="CV12" s="158"/>
      <c r="CW12" s="11"/>
      <c r="CX12" s="11"/>
      <c r="CY12" s="11"/>
      <c r="CZ12" s="12"/>
      <c r="DA12" s="12"/>
      <c r="DB12" s="12"/>
      <c r="DC12" s="12"/>
      <c r="DD12" s="12"/>
      <c r="DE12" s="152"/>
      <c r="DF12" s="152"/>
      <c r="DG12" s="61"/>
      <c r="DH12" s="13"/>
      <c r="DI12" s="13"/>
      <c r="DJ12" s="13"/>
      <c r="DK12" s="60"/>
      <c r="DL12" s="99"/>
      <c r="DN12" s="163"/>
      <c r="DO12" s="161"/>
      <c r="DP12" s="63"/>
      <c r="DQ12" s="64"/>
      <c r="DR12" s="62"/>
      <c r="DS12" s="50"/>
      <c r="DT12" s="29"/>
      <c r="DU12" s="10"/>
      <c r="DV12" s="158"/>
      <c r="DW12" s="11"/>
      <c r="DX12" s="11"/>
      <c r="DY12" s="11"/>
      <c r="DZ12" s="12"/>
      <c r="EA12" s="12"/>
      <c r="EB12" s="12"/>
      <c r="EC12" s="12"/>
      <c r="ED12" s="12"/>
      <c r="EE12" s="152"/>
      <c r="EF12" s="152"/>
      <c r="EG12" s="61"/>
      <c r="EH12" s="13"/>
      <c r="EI12" s="13"/>
      <c r="EJ12" s="13"/>
      <c r="EK12" s="60"/>
      <c r="EL12" s="99"/>
      <c r="EN12" s="163"/>
      <c r="EO12" s="161"/>
      <c r="EP12" s="63"/>
      <c r="EQ12" s="64"/>
      <c r="ER12" s="62"/>
      <c r="ES12" s="50"/>
      <c r="ET12" s="29"/>
      <c r="EU12" s="10"/>
      <c r="EV12" s="158"/>
      <c r="EW12" s="11"/>
      <c r="EX12" s="11"/>
      <c r="EY12" s="11"/>
      <c r="EZ12" s="12"/>
      <c r="FA12" s="12"/>
      <c r="FB12" s="12"/>
      <c r="FC12" s="12"/>
      <c r="FD12" s="12"/>
      <c r="FE12" s="152"/>
      <c r="FF12" s="152"/>
      <c r="FG12" s="61"/>
      <c r="FH12" s="13"/>
      <c r="FI12" s="13"/>
      <c r="FJ12" s="13"/>
      <c r="FK12" s="60"/>
      <c r="FL12" s="99"/>
      <c r="FN12" s="163"/>
      <c r="FO12" s="161"/>
      <c r="FP12" s="63"/>
      <c r="FQ12" s="64"/>
      <c r="FR12" s="62"/>
      <c r="FS12" s="50"/>
      <c r="FT12" s="29"/>
      <c r="FU12" s="10"/>
      <c r="FV12" s="158"/>
      <c r="FW12" s="11"/>
      <c r="FX12" s="11"/>
      <c r="FY12" s="11"/>
      <c r="FZ12" s="12"/>
      <c r="GA12" s="12"/>
      <c r="GB12" s="12"/>
      <c r="GC12" s="12"/>
      <c r="GD12" s="12"/>
      <c r="GE12" s="152"/>
      <c r="GF12" s="152"/>
      <c r="GG12" s="61"/>
      <c r="GH12" s="13"/>
      <c r="GI12" s="13"/>
      <c r="GJ12" s="13"/>
      <c r="GK12" s="60"/>
      <c r="GL12" s="99"/>
      <c r="GN12" s="163"/>
      <c r="GO12" s="161"/>
      <c r="GP12" s="63"/>
      <c r="GQ12" s="64"/>
      <c r="GR12" s="62"/>
      <c r="GS12" s="50"/>
      <c r="GT12" s="29"/>
      <c r="GU12" s="10"/>
      <c r="GV12" s="158"/>
      <c r="GW12" s="11"/>
      <c r="GX12" s="11"/>
      <c r="GY12" s="11"/>
      <c r="GZ12" s="12"/>
      <c r="HA12" s="12"/>
      <c r="HB12" s="12"/>
      <c r="HC12" s="12"/>
      <c r="HD12" s="12"/>
      <c r="HE12" s="152"/>
      <c r="HF12" s="152"/>
      <c r="HG12" s="61"/>
      <c r="HH12" s="13"/>
      <c r="HI12" s="13"/>
      <c r="HJ12" s="13"/>
      <c r="HK12" s="60"/>
      <c r="HL12" s="99"/>
      <c r="HN12" s="163"/>
      <c r="HO12" s="161"/>
      <c r="HP12" s="63"/>
      <c r="HQ12" s="64"/>
      <c r="HR12" s="62"/>
      <c r="HS12" s="50"/>
      <c r="HT12" s="29"/>
      <c r="HU12" s="10"/>
      <c r="HV12" s="158"/>
      <c r="HW12" s="11"/>
      <c r="HX12" s="11"/>
      <c r="HY12" s="11"/>
      <c r="HZ12" s="12"/>
      <c r="IA12" s="12"/>
      <c r="IB12" s="12"/>
      <c r="IC12" s="12"/>
      <c r="ID12" s="12"/>
      <c r="IE12" s="152"/>
      <c r="IF12" s="152"/>
      <c r="IG12" s="61"/>
      <c r="IH12" s="13"/>
      <c r="II12" s="13"/>
      <c r="IJ12" s="13"/>
      <c r="IK12" s="60"/>
      <c r="IL12" s="99"/>
      <c r="IN12" s="163"/>
      <c r="IO12" s="161"/>
      <c r="IP12" s="63"/>
      <c r="IQ12" s="64"/>
      <c r="IR12" s="62"/>
      <c r="IS12" s="50"/>
      <c r="IT12" s="29"/>
      <c r="IU12" s="10"/>
      <c r="IV12" s="158"/>
      <c r="IW12" s="11"/>
      <c r="IX12" s="11"/>
      <c r="IY12" s="11"/>
      <c r="IZ12" s="12"/>
      <c r="JA12" s="12"/>
      <c r="JB12" s="12"/>
      <c r="JC12" s="12"/>
      <c r="JD12" s="12"/>
      <c r="JE12" s="152"/>
      <c r="JF12" s="152"/>
      <c r="JG12" s="61"/>
      <c r="JH12" s="13"/>
      <c r="JI12" s="13"/>
      <c r="JJ12" s="13"/>
      <c r="JK12" s="60"/>
      <c r="JL12" s="99"/>
      <c r="JN12" s="163"/>
      <c r="JO12" s="161"/>
      <c r="JP12" s="63"/>
      <c r="JQ12" s="64"/>
      <c r="JR12" s="62"/>
      <c r="JS12" s="50"/>
      <c r="JT12" s="29"/>
      <c r="JU12" s="10"/>
      <c r="JV12" s="158"/>
      <c r="JW12" s="11"/>
      <c r="JX12" s="11"/>
      <c r="JY12" s="11"/>
      <c r="JZ12" s="12"/>
      <c r="KA12" s="12"/>
      <c r="KB12" s="12"/>
      <c r="KC12" s="12"/>
      <c r="KD12" s="12"/>
      <c r="KE12" s="152"/>
      <c r="KF12" s="152"/>
      <c r="KG12" s="61"/>
      <c r="KH12" s="13"/>
      <c r="KI12" s="13"/>
      <c r="KJ12" s="13"/>
      <c r="KK12" s="60"/>
      <c r="KL12" s="99"/>
      <c r="KN12" s="163"/>
      <c r="KO12" s="161"/>
      <c r="KP12" s="63"/>
      <c r="KQ12" s="64"/>
      <c r="KR12" s="62"/>
      <c r="KS12" s="50"/>
      <c r="KT12" s="29"/>
      <c r="KU12" s="10"/>
      <c r="KV12" s="158"/>
      <c r="KW12" s="11"/>
      <c r="KX12" s="11"/>
      <c r="KY12" s="11"/>
      <c r="KZ12" s="12"/>
      <c r="LA12" s="12"/>
      <c r="LB12" s="12"/>
      <c r="LC12" s="12"/>
      <c r="LD12" s="12"/>
      <c r="LE12" s="152"/>
      <c r="LF12" s="152"/>
      <c r="LG12" s="61"/>
      <c r="LH12" s="13"/>
      <c r="LI12" s="13"/>
      <c r="LJ12" s="13"/>
      <c r="LK12" s="60"/>
      <c r="LL12" s="99"/>
      <c r="LO12" s="238"/>
    </row>
    <row r="13" spans="1:327" customFormat="1" ht="15" customHeight="1" x14ac:dyDescent="0.35">
      <c r="A13" s="52"/>
      <c r="B13" s="53"/>
      <c r="C13" s="73"/>
      <c r="D13" s="55"/>
      <c r="E13" s="281"/>
      <c r="F13" s="56"/>
      <c r="G13" s="129"/>
      <c r="H13" s="59"/>
      <c r="I13" s="54"/>
      <c r="J13" s="59"/>
      <c r="K13" s="273"/>
      <c r="L13" s="67"/>
      <c r="M13" s="164"/>
      <c r="N13" s="163"/>
      <c r="O13" s="161"/>
      <c r="P13" s="63"/>
      <c r="Q13" s="163"/>
      <c r="R13" s="62"/>
      <c r="S13" s="50"/>
      <c r="T13" s="29"/>
      <c r="U13" s="10"/>
      <c r="V13" s="158"/>
      <c r="W13" s="11"/>
      <c r="X13" s="11"/>
      <c r="Y13" s="11"/>
      <c r="Z13" s="12"/>
      <c r="AA13" s="12"/>
      <c r="AB13" s="12"/>
      <c r="AC13" s="12"/>
      <c r="AD13" s="12"/>
      <c r="AE13" s="152"/>
      <c r="AF13" s="152"/>
      <c r="AG13" s="61"/>
      <c r="AH13" s="13"/>
      <c r="AI13" s="13"/>
      <c r="AJ13" s="13"/>
      <c r="AK13" s="60"/>
      <c r="AL13" s="99"/>
      <c r="AN13" s="163"/>
      <c r="AO13" s="161"/>
      <c r="AP13" s="63"/>
      <c r="AQ13" s="64"/>
      <c r="AR13" s="62"/>
      <c r="AS13" s="50"/>
      <c r="AT13" s="29"/>
      <c r="AU13" s="10"/>
      <c r="AV13" s="158"/>
      <c r="AW13" s="11"/>
      <c r="AX13" s="11"/>
      <c r="AY13" s="11"/>
      <c r="AZ13" s="12"/>
      <c r="BA13" s="12"/>
      <c r="BB13" s="12"/>
      <c r="BC13" s="12"/>
      <c r="BD13" s="12"/>
      <c r="BE13" s="152"/>
      <c r="BF13" s="152"/>
      <c r="BG13" s="61"/>
      <c r="BH13" s="13"/>
      <c r="BI13" s="13"/>
      <c r="BJ13" s="13"/>
      <c r="BK13" s="60"/>
      <c r="BL13" s="99"/>
      <c r="BM13" s="14"/>
      <c r="BN13" s="163"/>
      <c r="BO13" s="161"/>
      <c r="BP13" s="63"/>
      <c r="BQ13" s="64"/>
      <c r="BR13" s="62"/>
      <c r="BS13" s="50"/>
      <c r="BT13" s="29"/>
      <c r="BU13" s="10"/>
      <c r="BV13" s="158"/>
      <c r="BW13" s="11"/>
      <c r="BX13" s="11"/>
      <c r="BY13" s="11"/>
      <c r="BZ13" s="12"/>
      <c r="CA13" s="12"/>
      <c r="CB13" s="12"/>
      <c r="CC13" s="12"/>
      <c r="CD13" s="12"/>
      <c r="CE13" s="152"/>
      <c r="CF13" s="152"/>
      <c r="CG13" s="61"/>
      <c r="CH13" s="13"/>
      <c r="CI13" s="13"/>
      <c r="CJ13" s="13"/>
      <c r="CK13" s="60"/>
      <c r="CL13" s="99"/>
      <c r="CN13" s="163"/>
      <c r="CO13" s="161"/>
      <c r="CP13" s="63"/>
      <c r="CQ13" s="64"/>
      <c r="CR13" s="62"/>
      <c r="CS13" s="50"/>
      <c r="CT13" s="29"/>
      <c r="CU13" s="10"/>
      <c r="CV13" s="158"/>
      <c r="CW13" s="11"/>
      <c r="CX13" s="11"/>
      <c r="CY13" s="11"/>
      <c r="CZ13" s="12"/>
      <c r="DA13" s="12"/>
      <c r="DB13" s="12"/>
      <c r="DC13" s="12"/>
      <c r="DD13" s="12"/>
      <c r="DE13" s="152"/>
      <c r="DF13" s="152"/>
      <c r="DG13" s="61"/>
      <c r="DH13" s="13"/>
      <c r="DI13" s="13"/>
      <c r="DJ13" s="13"/>
      <c r="DK13" s="60"/>
      <c r="DL13" s="99"/>
      <c r="DN13" s="163"/>
      <c r="DO13" s="161"/>
      <c r="DP13" s="63"/>
      <c r="DQ13" s="64"/>
      <c r="DR13" s="62"/>
      <c r="DS13" s="50"/>
      <c r="DT13" s="29"/>
      <c r="DU13" s="10"/>
      <c r="DV13" s="158"/>
      <c r="DW13" s="11"/>
      <c r="DX13" s="11"/>
      <c r="DY13" s="11"/>
      <c r="DZ13" s="12"/>
      <c r="EA13" s="12"/>
      <c r="EB13" s="12"/>
      <c r="EC13" s="12"/>
      <c r="ED13" s="12"/>
      <c r="EE13" s="152"/>
      <c r="EF13" s="152"/>
      <c r="EG13" s="61"/>
      <c r="EH13" s="13"/>
      <c r="EI13" s="13"/>
      <c r="EJ13" s="13"/>
      <c r="EK13" s="60"/>
      <c r="EL13" s="99"/>
      <c r="EN13" s="163"/>
      <c r="EO13" s="161"/>
      <c r="EP13" s="63"/>
      <c r="EQ13" s="64"/>
      <c r="ER13" s="62"/>
      <c r="ES13" s="50"/>
      <c r="ET13" s="29"/>
      <c r="EU13" s="10"/>
      <c r="EV13" s="158"/>
      <c r="EW13" s="11"/>
      <c r="EX13" s="11"/>
      <c r="EY13" s="11"/>
      <c r="EZ13" s="12"/>
      <c r="FA13" s="12"/>
      <c r="FB13" s="12"/>
      <c r="FC13" s="12"/>
      <c r="FD13" s="12"/>
      <c r="FE13" s="152"/>
      <c r="FF13" s="152"/>
      <c r="FG13" s="61"/>
      <c r="FH13" s="13"/>
      <c r="FI13" s="13"/>
      <c r="FJ13" s="13"/>
      <c r="FK13" s="60"/>
      <c r="FL13" s="99"/>
      <c r="FN13" s="163"/>
      <c r="FO13" s="161"/>
      <c r="FP13" s="63"/>
      <c r="FQ13" s="64"/>
      <c r="FR13" s="62"/>
      <c r="FS13" s="50"/>
      <c r="FT13" s="29"/>
      <c r="FU13" s="10"/>
      <c r="FV13" s="158"/>
      <c r="FW13" s="11"/>
      <c r="FX13" s="11"/>
      <c r="FY13" s="11"/>
      <c r="FZ13" s="12"/>
      <c r="GA13" s="12"/>
      <c r="GB13" s="12"/>
      <c r="GC13" s="12"/>
      <c r="GD13" s="12"/>
      <c r="GE13" s="152"/>
      <c r="GF13" s="152"/>
      <c r="GG13" s="61"/>
      <c r="GH13" s="13"/>
      <c r="GI13" s="13"/>
      <c r="GJ13" s="13"/>
      <c r="GK13" s="60"/>
      <c r="GL13" s="99"/>
      <c r="GN13" s="163"/>
      <c r="GO13" s="161"/>
      <c r="GP13" s="63"/>
      <c r="GQ13" s="64"/>
      <c r="GR13" s="62"/>
      <c r="GS13" s="50"/>
      <c r="GT13" s="29"/>
      <c r="GU13" s="10"/>
      <c r="GV13" s="158"/>
      <c r="GW13" s="11"/>
      <c r="GX13" s="11"/>
      <c r="GY13" s="11"/>
      <c r="GZ13" s="12"/>
      <c r="HA13" s="12"/>
      <c r="HB13" s="12"/>
      <c r="HC13" s="12"/>
      <c r="HD13" s="12"/>
      <c r="HE13" s="152"/>
      <c r="HF13" s="152"/>
      <c r="HG13" s="61"/>
      <c r="HH13" s="13"/>
      <c r="HI13" s="13"/>
      <c r="HJ13" s="13"/>
      <c r="HK13" s="60"/>
      <c r="HL13" s="99"/>
      <c r="HN13" s="163"/>
      <c r="HO13" s="161"/>
      <c r="HP13" s="63"/>
      <c r="HQ13" s="64"/>
      <c r="HR13" s="62"/>
      <c r="HS13" s="50"/>
      <c r="HT13" s="29"/>
      <c r="HU13" s="10"/>
      <c r="HV13" s="158"/>
      <c r="HW13" s="11"/>
      <c r="HX13" s="11"/>
      <c r="HY13" s="11"/>
      <c r="HZ13" s="12"/>
      <c r="IA13" s="12"/>
      <c r="IB13" s="12"/>
      <c r="IC13" s="12"/>
      <c r="ID13" s="12"/>
      <c r="IE13" s="152"/>
      <c r="IF13" s="152"/>
      <c r="IG13" s="61"/>
      <c r="IH13" s="13"/>
      <c r="II13" s="13"/>
      <c r="IJ13" s="13"/>
      <c r="IK13" s="60"/>
      <c r="IL13" s="99"/>
      <c r="IN13" s="163"/>
      <c r="IO13" s="161"/>
      <c r="IP13" s="63"/>
      <c r="IQ13" s="64"/>
      <c r="IR13" s="62"/>
      <c r="IS13" s="50"/>
      <c r="IT13" s="29"/>
      <c r="IU13" s="10"/>
      <c r="IV13" s="158"/>
      <c r="IW13" s="11"/>
      <c r="IX13" s="11"/>
      <c r="IY13" s="11"/>
      <c r="IZ13" s="12"/>
      <c r="JA13" s="12"/>
      <c r="JB13" s="12"/>
      <c r="JC13" s="12"/>
      <c r="JD13" s="12"/>
      <c r="JE13" s="152"/>
      <c r="JF13" s="152"/>
      <c r="JG13" s="61"/>
      <c r="JH13" s="13"/>
      <c r="JI13" s="13"/>
      <c r="JJ13" s="13"/>
      <c r="JK13" s="60"/>
      <c r="JL13" s="99"/>
      <c r="JN13" s="163"/>
      <c r="JO13" s="161"/>
      <c r="JP13" s="63"/>
      <c r="JQ13" s="64"/>
      <c r="JR13" s="62"/>
      <c r="JS13" s="50"/>
      <c r="JT13" s="29"/>
      <c r="JU13" s="10"/>
      <c r="JV13" s="158"/>
      <c r="JW13" s="11"/>
      <c r="JX13" s="11"/>
      <c r="JY13" s="11"/>
      <c r="JZ13" s="12"/>
      <c r="KA13" s="12"/>
      <c r="KB13" s="12"/>
      <c r="KC13" s="12"/>
      <c r="KD13" s="12"/>
      <c r="KE13" s="152"/>
      <c r="KF13" s="152"/>
      <c r="KG13" s="61"/>
      <c r="KH13" s="13"/>
      <c r="KI13" s="13"/>
      <c r="KJ13" s="13"/>
      <c r="KK13" s="60"/>
      <c r="KL13" s="99"/>
      <c r="KN13" s="163"/>
      <c r="KO13" s="161"/>
      <c r="KP13" s="63"/>
      <c r="KQ13" s="64"/>
      <c r="KR13" s="62"/>
      <c r="KS13" s="50"/>
      <c r="KT13" s="29"/>
      <c r="KU13" s="10"/>
      <c r="KV13" s="158"/>
      <c r="KW13" s="11"/>
      <c r="KX13" s="11"/>
      <c r="KY13" s="11"/>
      <c r="KZ13" s="12"/>
      <c r="LA13" s="12"/>
      <c r="LB13" s="12"/>
      <c r="LC13" s="12"/>
      <c r="LD13" s="12"/>
      <c r="LE13" s="152"/>
      <c r="LF13" s="152"/>
      <c r="LG13" s="61"/>
      <c r="LH13" s="13"/>
      <c r="LI13" s="13"/>
      <c r="LJ13" s="13"/>
      <c r="LK13" s="60"/>
      <c r="LL13" s="99"/>
      <c r="LO13" s="238"/>
    </row>
    <row r="14" spans="1:327" customFormat="1" ht="15" customHeight="1" x14ac:dyDescent="0.35">
      <c r="A14" s="52"/>
      <c r="B14" s="53"/>
      <c r="C14" s="73"/>
      <c r="D14" s="55"/>
      <c r="E14" s="281"/>
      <c r="F14" s="56"/>
      <c r="G14" s="129"/>
      <c r="H14" s="59"/>
      <c r="I14" s="54"/>
      <c r="J14" s="59"/>
      <c r="K14" s="273"/>
      <c r="L14" s="67"/>
      <c r="M14" s="164"/>
      <c r="N14" s="163"/>
      <c r="O14" s="161"/>
      <c r="P14" s="63"/>
      <c r="Q14" s="163"/>
      <c r="R14" s="62"/>
      <c r="S14" s="50"/>
      <c r="T14" s="29"/>
      <c r="U14" s="10"/>
      <c r="V14" s="158"/>
      <c r="W14" s="11"/>
      <c r="X14" s="11"/>
      <c r="Y14" s="11"/>
      <c r="Z14" s="12"/>
      <c r="AA14" s="12"/>
      <c r="AB14" s="12"/>
      <c r="AC14" s="12"/>
      <c r="AD14" s="12"/>
      <c r="AE14" s="152"/>
      <c r="AF14" s="152"/>
      <c r="AG14" s="61"/>
      <c r="AH14" s="13"/>
      <c r="AI14" s="13"/>
      <c r="AJ14" s="13"/>
      <c r="AK14" s="60"/>
      <c r="AL14" s="99"/>
      <c r="AN14" s="163"/>
      <c r="AO14" s="161"/>
      <c r="AP14" s="63"/>
      <c r="AQ14" s="64"/>
      <c r="AR14" s="62"/>
      <c r="AS14" s="50"/>
      <c r="AT14" s="29"/>
      <c r="AU14" s="10"/>
      <c r="AV14" s="158"/>
      <c r="AW14" s="11"/>
      <c r="AX14" s="11"/>
      <c r="AY14" s="11"/>
      <c r="AZ14" s="12"/>
      <c r="BA14" s="12"/>
      <c r="BB14" s="12"/>
      <c r="BC14" s="12"/>
      <c r="BD14" s="12"/>
      <c r="BE14" s="152"/>
      <c r="BF14" s="152"/>
      <c r="BG14" s="61"/>
      <c r="BH14" s="13"/>
      <c r="BI14" s="13"/>
      <c r="BJ14" s="13"/>
      <c r="BK14" s="60"/>
      <c r="BL14" s="99"/>
      <c r="BM14" s="14"/>
      <c r="BN14" s="163"/>
      <c r="BO14" s="161"/>
      <c r="BP14" s="63"/>
      <c r="BQ14" s="64"/>
      <c r="BR14" s="62"/>
      <c r="BS14" s="50"/>
      <c r="BT14" s="29"/>
      <c r="BU14" s="10"/>
      <c r="BV14" s="158"/>
      <c r="BW14" s="11"/>
      <c r="BX14" s="11"/>
      <c r="BY14" s="11"/>
      <c r="BZ14" s="12"/>
      <c r="CA14" s="12"/>
      <c r="CB14" s="12"/>
      <c r="CC14" s="12"/>
      <c r="CD14" s="12"/>
      <c r="CE14" s="152"/>
      <c r="CF14" s="152"/>
      <c r="CG14" s="61"/>
      <c r="CH14" s="13"/>
      <c r="CI14" s="13"/>
      <c r="CJ14" s="13"/>
      <c r="CK14" s="60"/>
      <c r="CL14" s="99"/>
      <c r="CN14" s="163"/>
      <c r="CO14" s="161"/>
      <c r="CP14" s="63"/>
      <c r="CQ14" s="64"/>
      <c r="CR14" s="62"/>
      <c r="CS14" s="50"/>
      <c r="CT14" s="29"/>
      <c r="CU14" s="10"/>
      <c r="CV14" s="158"/>
      <c r="CW14" s="11"/>
      <c r="CX14" s="11"/>
      <c r="CY14" s="11"/>
      <c r="CZ14" s="12"/>
      <c r="DA14" s="12"/>
      <c r="DB14" s="12"/>
      <c r="DC14" s="12"/>
      <c r="DD14" s="12"/>
      <c r="DE14" s="152"/>
      <c r="DF14" s="152"/>
      <c r="DG14" s="61"/>
      <c r="DH14" s="13"/>
      <c r="DI14" s="13"/>
      <c r="DJ14" s="13"/>
      <c r="DK14" s="60"/>
      <c r="DL14" s="99"/>
      <c r="DN14" s="163"/>
      <c r="DO14" s="161"/>
      <c r="DP14" s="63"/>
      <c r="DQ14" s="64"/>
      <c r="DR14" s="62"/>
      <c r="DS14" s="50"/>
      <c r="DT14" s="29"/>
      <c r="DU14" s="10"/>
      <c r="DV14" s="158"/>
      <c r="DW14" s="11"/>
      <c r="DX14" s="11"/>
      <c r="DY14" s="11"/>
      <c r="DZ14" s="12"/>
      <c r="EA14" s="12"/>
      <c r="EB14" s="12"/>
      <c r="EC14" s="12"/>
      <c r="ED14" s="12"/>
      <c r="EE14" s="152"/>
      <c r="EF14" s="152"/>
      <c r="EG14" s="61"/>
      <c r="EH14" s="13"/>
      <c r="EI14" s="13"/>
      <c r="EJ14" s="13"/>
      <c r="EK14" s="60"/>
      <c r="EL14" s="99"/>
      <c r="EN14" s="163"/>
      <c r="EO14" s="161"/>
      <c r="EP14" s="63"/>
      <c r="EQ14" s="64"/>
      <c r="ER14" s="62"/>
      <c r="ES14" s="50"/>
      <c r="ET14" s="29"/>
      <c r="EU14" s="10"/>
      <c r="EV14" s="158"/>
      <c r="EW14" s="11"/>
      <c r="EX14" s="11"/>
      <c r="EY14" s="11"/>
      <c r="EZ14" s="12"/>
      <c r="FA14" s="12"/>
      <c r="FB14" s="12"/>
      <c r="FC14" s="12"/>
      <c r="FD14" s="12"/>
      <c r="FE14" s="152"/>
      <c r="FF14" s="152"/>
      <c r="FG14" s="61"/>
      <c r="FH14" s="13"/>
      <c r="FI14" s="13"/>
      <c r="FJ14" s="13"/>
      <c r="FK14" s="60"/>
      <c r="FL14" s="99"/>
      <c r="FN14" s="163"/>
      <c r="FO14" s="161"/>
      <c r="FP14" s="63"/>
      <c r="FQ14" s="64"/>
      <c r="FR14" s="62"/>
      <c r="FS14" s="50"/>
      <c r="FT14" s="29"/>
      <c r="FU14" s="10"/>
      <c r="FV14" s="158"/>
      <c r="FW14" s="11"/>
      <c r="FX14" s="11"/>
      <c r="FY14" s="11"/>
      <c r="FZ14" s="12"/>
      <c r="GA14" s="12"/>
      <c r="GB14" s="12"/>
      <c r="GC14" s="12"/>
      <c r="GD14" s="12"/>
      <c r="GE14" s="152"/>
      <c r="GF14" s="152"/>
      <c r="GG14" s="61"/>
      <c r="GH14" s="13"/>
      <c r="GI14" s="13"/>
      <c r="GJ14" s="13"/>
      <c r="GK14" s="60"/>
      <c r="GL14" s="99"/>
      <c r="GN14" s="163"/>
      <c r="GO14" s="161"/>
      <c r="GP14" s="63"/>
      <c r="GQ14" s="64"/>
      <c r="GR14" s="62"/>
      <c r="GS14" s="50"/>
      <c r="GT14" s="29"/>
      <c r="GU14" s="10"/>
      <c r="GV14" s="158"/>
      <c r="GW14" s="11"/>
      <c r="GX14" s="11"/>
      <c r="GY14" s="11"/>
      <c r="GZ14" s="12"/>
      <c r="HA14" s="12"/>
      <c r="HB14" s="12"/>
      <c r="HC14" s="12"/>
      <c r="HD14" s="12"/>
      <c r="HE14" s="152"/>
      <c r="HF14" s="152"/>
      <c r="HG14" s="61"/>
      <c r="HH14" s="13"/>
      <c r="HI14" s="13"/>
      <c r="HJ14" s="13"/>
      <c r="HK14" s="60"/>
      <c r="HL14" s="99"/>
      <c r="HN14" s="163"/>
      <c r="HO14" s="161"/>
      <c r="HP14" s="63"/>
      <c r="HQ14" s="64"/>
      <c r="HR14" s="62"/>
      <c r="HS14" s="50"/>
      <c r="HT14" s="29"/>
      <c r="HU14" s="10"/>
      <c r="HV14" s="158"/>
      <c r="HW14" s="11"/>
      <c r="HX14" s="11"/>
      <c r="HY14" s="11"/>
      <c r="HZ14" s="12"/>
      <c r="IA14" s="12"/>
      <c r="IB14" s="12"/>
      <c r="IC14" s="12"/>
      <c r="ID14" s="12"/>
      <c r="IE14" s="152"/>
      <c r="IF14" s="152"/>
      <c r="IG14" s="61"/>
      <c r="IH14" s="13"/>
      <c r="II14" s="13"/>
      <c r="IJ14" s="13"/>
      <c r="IK14" s="60"/>
      <c r="IL14" s="99"/>
      <c r="IN14" s="163"/>
      <c r="IO14" s="161"/>
      <c r="IP14" s="63"/>
      <c r="IQ14" s="64"/>
      <c r="IR14" s="62"/>
      <c r="IS14" s="50"/>
      <c r="IT14" s="29"/>
      <c r="IU14" s="10"/>
      <c r="IV14" s="158"/>
      <c r="IW14" s="11"/>
      <c r="IX14" s="11"/>
      <c r="IY14" s="11"/>
      <c r="IZ14" s="12"/>
      <c r="JA14" s="12"/>
      <c r="JB14" s="12"/>
      <c r="JC14" s="12"/>
      <c r="JD14" s="12"/>
      <c r="JE14" s="152"/>
      <c r="JF14" s="152"/>
      <c r="JG14" s="61"/>
      <c r="JH14" s="13"/>
      <c r="JI14" s="13"/>
      <c r="JJ14" s="13"/>
      <c r="JK14" s="60"/>
      <c r="JL14" s="99"/>
      <c r="JN14" s="163"/>
      <c r="JO14" s="161"/>
      <c r="JP14" s="63"/>
      <c r="JQ14" s="64"/>
      <c r="JR14" s="62"/>
      <c r="JS14" s="50"/>
      <c r="JT14" s="29"/>
      <c r="JU14" s="10"/>
      <c r="JV14" s="158"/>
      <c r="JW14" s="11"/>
      <c r="JX14" s="11"/>
      <c r="JY14" s="11"/>
      <c r="JZ14" s="12"/>
      <c r="KA14" s="12"/>
      <c r="KB14" s="12"/>
      <c r="KC14" s="12"/>
      <c r="KD14" s="12"/>
      <c r="KE14" s="152"/>
      <c r="KF14" s="152"/>
      <c r="KG14" s="61"/>
      <c r="KH14" s="13"/>
      <c r="KI14" s="13"/>
      <c r="KJ14" s="13"/>
      <c r="KK14" s="60"/>
      <c r="KL14" s="99"/>
      <c r="KN14" s="163"/>
      <c r="KO14" s="161"/>
      <c r="KP14" s="63"/>
      <c r="KQ14" s="64"/>
      <c r="KR14" s="62"/>
      <c r="KS14" s="50"/>
      <c r="KT14" s="29"/>
      <c r="KU14" s="10"/>
      <c r="KV14" s="158"/>
      <c r="KW14" s="11"/>
      <c r="KX14" s="11"/>
      <c r="KY14" s="11"/>
      <c r="KZ14" s="12"/>
      <c r="LA14" s="12"/>
      <c r="LB14" s="12"/>
      <c r="LC14" s="12"/>
      <c r="LD14" s="12"/>
      <c r="LE14" s="152"/>
      <c r="LF14" s="152"/>
      <c r="LG14" s="61"/>
      <c r="LH14" s="13"/>
      <c r="LI14" s="13"/>
      <c r="LJ14" s="13"/>
      <c r="LK14" s="60"/>
      <c r="LL14" s="99"/>
      <c r="LO14" s="238"/>
    </row>
    <row r="15" spans="1:327" customFormat="1" ht="15" customHeight="1" x14ac:dyDescent="0.35">
      <c r="A15" s="52"/>
      <c r="B15" s="53"/>
      <c r="C15" s="73"/>
      <c r="D15" s="55"/>
      <c r="E15" s="281"/>
      <c r="F15" s="56"/>
      <c r="G15" s="129"/>
      <c r="H15" s="59"/>
      <c r="I15" s="54"/>
      <c r="J15" s="59"/>
      <c r="K15" s="273"/>
      <c r="L15" s="67"/>
      <c r="M15" s="164"/>
      <c r="N15" s="163"/>
      <c r="O15" s="161"/>
      <c r="P15" s="63"/>
      <c r="Q15" s="163"/>
      <c r="R15" s="62"/>
      <c r="S15" s="50"/>
      <c r="T15" s="29"/>
      <c r="U15" s="10"/>
      <c r="V15" s="158"/>
      <c r="W15" s="11"/>
      <c r="X15" s="11"/>
      <c r="Y15" s="11"/>
      <c r="Z15" s="12"/>
      <c r="AA15" s="12"/>
      <c r="AB15" s="12"/>
      <c r="AC15" s="12"/>
      <c r="AD15" s="12"/>
      <c r="AE15" s="152"/>
      <c r="AF15" s="152"/>
      <c r="AG15" s="61"/>
      <c r="AH15" s="13"/>
      <c r="AI15" s="13"/>
      <c r="AJ15" s="13"/>
      <c r="AK15" s="60"/>
      <c r="AL15" s="99"/>
      <c r="AN15" s="163"/>
      <c r="AO15" s="161"/>
      <c r="AP15" s="63"/>
      <c r="AQ15" s="64"/>
      <c r="AR15" s="62"/>
      <c r="AS15" s="50"/>
      <c r="AT15" s="29"/>
      <c r="AU15" s="10"/>
      <c r="AV15" s="158"/>
      <c r="AW15" s="11"/>
      <c r="AX15" s="11"/>
      <c r="AY15" s="11"/>
      <c r="AZ15" s="12"/>
      <c r="BA15" s="12"/>
      <c r="BB15" s="12"/>
      <c r="BC15" s="12"/>
      <c r="BD15" s="12"/>
      <c r="BE15" s="152"/>
      <c r="BF15" s="152"/>
      <c r="BG15" s="61"/>
      <c r="BH15" s="13"/>
      <c r="BI15" s="13"/>
      <c r="BJ15" s="13"/>
      <c r="BK15" s="60"/>
      <c r="BL15" s="99"/>
      <c r="BM15" s="14"/>
      <c r="BN15" s="163"/>
      <c r="BO15" s="161"/>
      <c r="BP15" s="63"/>
      <c r="BQ15" s="64"/>
      <c r="BR15" s="62"/>
      <c r="BS15" s="50"/>
      <c r="BT15" s="29"/>
      <c r="BU15" s="10"/>
      <c r="BV15" s="158"/>
      <c r="BW15" s="11"/>
      <c r="BX15" s="11"/>
      <c r="BY15" s="11"/>
      <c r="BZ15" s="12"/>
      <c r="CA15" s="12"/>
      <c r="CB15" s="12"/>
      <c r="CC15" s="12"/>
      <c r="CD15" s="12"/>
      <c r="CE15" s="152"/>
      <c r="CF15" s="152"/>
      <c r="CG15" s="61"/>
      <c r="CH15" s="13"/>
      <c r="CI15" s="13"/>
      <c r="CJ15" s="13"/>
      <c r="CK15" s="60"/>
      <c r="CL15" s="99"/>
      <c r="CN15" s="163"/>
      <c r="CO15" s="161"/>
      <c r="CP15" s="63"/>
      <c r="CQ15" s="64"/>
      <c r="CR15" s="62"/>
      <c r="CS15" s="50"/>
      <c r="CT15" s="29"/>
      <c r="CU15" s="10"/>
      <c r="CV15" s="158"/>
      <c r="CW15" s="11"/>
      <c r="CX15" s="11"/>
      <c r="CY15" s="11"/>
      <c r="CZ15" s="12"/>
      <c r="DA15" s="12"/>
      <c r="DB15" s="12"/>
      <c r="DC15" s="12"/>
      <c r="DD15" s="12"/>
      <c r="DE15" s="152"/>
      <c r="DF15" s="152"/>
      <c r="DG15" s="61"/>
      <c r="DH15" s="13"/>
      <c r="DI15" s="13"/>
      <c r="DJ15" s="13"/>
      <c r="DK15" s="60"/>
      <c r="DL15" s="99"/>
      <c r="DN15" s="163"/>
      <c r="DO15" s="161"/>
      <c r="DP15" s="63"/>
      <c r="DQ15" s="64"/>
      <c r="DR15" s="62"/>
      <c r="DS15" s="50"/>
      <c r="DT15" s="29"/>
      <c r="DU15" s="10"/>
      <c r="DV15" s="158"/>
      <c r="DW15" s="11"/>
      <c r="DX15" s="11"/>
      <c r="DY15" s="11"/>
      <c r="DZ15" s="12"/>
      <c r="EA15" s="12"/>
      <c r="EB15" s="12"/>
      <c r="EC15" s="12"/>
      <c r="ED15" s="12"/>
      <c r="EE15" s="152"/>
      <c r="EF15" s="152"/>
      <c r="EG15" s="61"/>
      <c r="EH15" s="13"/>
      <c r="EI15" s="13"/>
      <c r="EJ15" s="13"/>
      <c r="EK15" s="60"/>
      <c r="EL15" s="99"/>
      <c r="EN15" s="163"/>
      <c r="EO15" s="161"/>
      <c r="EP15" s="63"/>
      <c r="EQ15" s="64"/>
      <c r="ER15" s="62"/>
      <c r="ES15" s="50"/>
      <c r="ET15" s="29"/>
      <c r="EU15" s="10"/>
      <c r="EV15" s="158"/>
      <c r="EW15" s="11"/>
      <c r="EX15" s="11"/>
      <c r="EY15" s="11"/>
      <c r="EZ15" s="12"/>
      <c r="FA15" s="12"/>
      <c r="FB15" s="12"/>
      <c r="FC15" s="12"/>
      <c r="FD15" s="12"/>
      <c r="FE15" s="152"/>
      <c r="FF15" s="152"/>
      <c r="FG15" s="61"/>
      <c r="FH15" s="13"/>
      <c r="FI15" s="13"/>
      <c r="FJ15" s="13"/>
      <c r="FK15" s="60"/>
      <c r="FL15" s="99"/>
      <c r="FN15" s="163"/>
      <c r="FO15" s="161"/>
      <c r="FP15" s="63"/>
      <c r="FQ15" s="64"/>
      <c r="FR15" s="62"/>
      <c r="FS15" s="50"/>
      <c r="FT15" s="29"/>
      <c r="FU15" s="10"/>
      <c r="FV15" s="158"/>
      <c r="FW15" s="11"/>
      <c r="FX15" s="11"/>
      <c r="FY15" s="11"/>
      <c r="FZ15" s="12"/>
      <c r="GA15" s="12"/>
      <c r="GB15" s="12"/>
      <c r="GC15" s="12"/>
      <c r="GD15" s="12"/>
      <c r="GE15" s="152"/>
      <c r="GF15" s="152"/>
      <c r="GG15" s="61"/>
      <c r="GH15" s="13"/>
      <c r="GI15" s="13"/>
      <c r="GJ15" s="13"/>
      <c r="GK15" s="60"/>
      <c r="GL15" s="99"/>
      <c r="GN15" s="163"/>
      <c r="GO15" s="161"/>
      <c r="GP15" s="63"/>
      <c r="GQ15" s="64"/>
      <c r="GR15" s="62"/>
      <c r="GS15" s="50"/>
      <c r="GT15" s="29"/>
      <c r="GU15" s="10"/>
      <c r="GV15" s="158"/>
      <c r="GW15" s="11"/>
      <c r="GX15" s="11"/>
      <c r="GY15" s="11"/>
      <c r="GZ15" s="12"/>
      <c r="HA15" s="12"/>
      <c r="HB15" s="12"/>
      <c r="HC15" s="12"/>
      <c r="HD15" s="12"/>
      <c r="HE15" s="152"/>
      <c r="HF15" s="152"/>
      <c r="HG15" s="61"/>
      <c r="HH15" s="13"/>
      <c r="HI15" s="13"/>
      <c r="HJ15" s="13"/>
      <c r="HK15" s="60"/>
      <c r="HL15" s="99"/>
      <c r="HN15" s="163"/>
      <c r="HO15" s="161"/>
      <c r="HP15" s="63"/>
      <c r="HQ15" s="64"/>
      <c r="HR15" s="62"/>
      <c r="HS15" s="50"/>
      <c r="HT15" s="29"/>
      <c r="HU15" s="10"/>
      <c r="HV15" s="158"/>
      <c r="HW15" s="11"/>
      <c r="HX15" s="11"/>
      <c r="HY15" s="11"/>
      <c r="HZ15" s="12"/>
      <c r="IA15" s="12"/>
      <c r="IB15" s="12"/>
      <c r="IC15" s="12"/>
      <c r="ID15" s="12"/>
      <c r="IE15" s="152"/>
      <c r="IF15" s="152"/>
      <c r="IG15" s="61"/>
      <c r="IH15" s="13"/>
      <c r="II15" s="13"/>
      <c r="IJ15" s="13"/>
      <c r="IK15" s="60"/>
      <c r="IL15" s="99"/>
      <c r="IN15" s="163"/>
      <c r="IO15" s="161"/>
      <c r="IP15" s="63"/>
      <c r="IQ15" s="64"/>
      <c r="IR15" s="62"/>
      <c r="IS15" s="50"/>
      <c r="IT15" s="29"/>
      <c r="IU15" s="10"/>
      <c r="IV15" s="158"/>
      <c r="IW15" s="11"/>
      <c r="IX15" s="11"/>
      <c r="IY15" s="11"/>
      <c r="IZ15" s="12"/>
      <c r="JA15" s="12"/>
      <c r="JB15" s="12"/>
      <c r="JC15" s="12"/>
      <c r="JD15" s="12"/>
      <c r="JE15" s="152"/>
      <c r="JF15" s="152"/>
      <c r="JG15" s="61"/>
      <c r="JH15" s="13"/>
      <c r="JI15" s="13"/>
      <c r="JJ15" s="13"/>
      <c r="JK15" s="60"/>
      <c r="JL15" s="99"/>
      <c r="JN15" s="163"/>
      <c r="JO15" s="161"/>
      <c r="JP15" s="63"/>
      <c r="JQ15" s="64"/>
      <c r="JR15" s="62"/>
      <c r="JS15" s="50"/>
      <c r="JT15" s="29"/>
      <c r="JU15" s="10"/>
      <c r="JV15" s="158"/>
      <c r="JW15" s="11"/>
      <c r="JX15" s="11"/>
      <c r="JY15" s="11"/>
      <c r="JZ15" s="12"/>
      <c r="KA15" s="12"/>
      <c r="KB15" s="12"/>
      <c r="KC15" s="12"/>
      <c r="KD15" s="12"/>
      <c r="KE15" s="152"/>
      <c r="KF15" s="152"/>
      <c r="KG15" s="61"/>
      <c r="KH15" s="13"/>
      <c r="KI15" s="13"/>
      <c r="KJ15" s="13"/>
      <c r="KK15" s="60"/>
      <c r="KL15" s="99"/>
      <c r="KN15" s="163"/>
      <c r="KO15" s="161"/>
      <c r="KP15" s="63"/>
      <c r="KQ15" s="64"/>
      <c r="KR15" s="62"/>
      <c r="KS15" s="50"/>
      <c r="KT15" s="29"/>
      <c r="KU15" s="10"/>
      <c r="KV15" s="158"/>
      <c r="KW15" s="11"/>
      <c r="KX15" s="11"/>
      <c r="KY15" s="11"/>
      <c r="KZ15" s="12"/>
      <c r="LA15" s="12"/>
      <c r="LB15" s="12"/>
      <c r="LC15" s="12"/>
      <c r="LD15" s="12"/>
      <c r="LE15" s="152"/>
      <c r="LF15" s="152"/>
      <c r="LG15" s="61"/>
      <c r="LH15" s="13"/>
      <c r="LI15" s="13"/>
      <c r="LJ15" s="13"/>
      <c r="LK15" s="60"/>
      <c r="LL15" s="99"/>
      <c r="LO15" s="238"/>
    </row>
    <row r="16" spans="1:327" x14ac:dyDescent="0.35">
      <c r="A16" s="52"/>
      <c r="B16" s="69"/>
      <c r="C16" s="73"/>
      <c r="D16" s="55"/>
      <c r="E16" s="281"/>
      <c r="F16" s="56"/>
      <c r="G16" s="129"/>
      <c r="H16" s="59"/>
      <c r="I16" s="54"/>
      <c r="J16" s="59"/>
      <c r="K16" s="273"/>
      <c r="L16" s="67"/>
      <c r="M16" s="164"/>
      <c r="N16" s="163"/>
      <c r="O16" s="161"/>
      <c r="P16" s="63"/>
      <c r="Q16" s="163"/>
      <c r="R16" s="62"/>
      <c r="S16" s="50"/>
      <c r="T16" s="29"/>
      <c r="U16" s="10"/>
      <c r="V16" s="158"/>
      <c r="W16" s="11"/>
      <c r="X16" s="11"/>
      <c r="Y16" s="11"/>
      <c r="Z16" s="12"/>
      <c r="AA16" s="12"/>
      <c r="AB16" s="12"/>
      <c r="AC16" s="12"/>
      <c r="AD16" s="12"/>
      <c r="AE16" s="152"/>
      <c r="AF16" s="152"/>
      <c r="AG16" s="61"/>
      <c r="AH16" s="13"/>
      <c r="AI16" s="13"/>
      <c r="AJ16" s="13"/>
      <c r="AK16" s="60"/>
      <c r="AL16" s="99"/>
      <c r="AN16" s="163"/>
      <c r="AO16" s="161"/>
      <c r="AP16" s="63"/>
      <c r="AQ16" s="64"/>
      <c r="AR16" s="62"/>
      <c r="AS16" s="50"/>
      <c r="AT16" s="29"/>
      <c r="AU16" s="10"/>
      <c r="AV16" s="158"/>
      <c r="AW16" s="11"/>
      <c r="AX16" s="11"/>
      <c r="AY16" s="11"/>
      <c r="AZ16" s="12"/>
      <c r="BA16" s="12"/>
      <c r="BB16" s="12"/>
      <c r="BC16" s="12"/>
      <c r="BD16" s="12"/>
      <c r="BE16" s="152"/>
      <c r="BF16" s="152"/>
      <c r="BG16" s="61"/>
      <c r="BH16" s="13"/>
      <c r="BI16" s="13"/>
      <c r="BJ16" s="13"/>
      <c r="BK16" s="60"/>
      <c r="BL16" s="99"/>
      <c r="BM16" s="14"/>
      <c r="BN16" s="163"/>
      <c r="BO16" s="161"/>
      <c r="BP16" s="63"/>
      <c r="BQ16" s="64"/>
      <c r="BR16" s="62"/>
      <c r="BS16" s="50"/>
      <c r="BT16" s="29"/>
      <c r="BU16" s="10"/>
      <c r="BV16" s="158"/>
      <c r="BW16" s="11"/>
      <c r="BX16" s="11"/>
      <c r="BY16" s="11"/>
      <c r="BZ16" s="12"/>
      <c r="CA16" s="12"/>
      <c r="CB16" s="12"/>
      <c r="CC16" s="12"/>
      <c r="CD16" s="12"/>
      <c r="CE16" s="152"/>
      <c r="CF16" s="152"/>
      <c r="CG16" s="61"/>
      <c r="CH16" s="13"/>
      <c r="CI16" s="13"/>
      <c r="CJ16" s="13"/>
      <c r="CK16" s="60"/>
      <c r="CL16" s="99"/>
      <c r="CN16" s="163"/>
      <c r="CO16" s="161"/>
      <c r="CP16" s="63"/>
      <c r="CQ16" s="64"/>
      <c r="CR16" s="62"/>
      <c r="CS16" s="50"/>
      <c r="CT16" s="29"/>
      <c r="CU16" s="10"/>
      <c r="CV16" s="158"/>
      <c r="CW16" s="11"/>
      <c r="CX16" s="11"/>
      <c r="CY16" s="11"/>
      <c r="CZ16" s="12"/>
      <c r="DA16" s="12"/>
      <c r="DB16" s="12"/>
      <c r="DC16" s="12"/>
      <c r="DD16" s="12"/>
      <c r="DE16" s="152"/>
      <c r="DF16" s="152"/>
      <c r="DG16" s="61"/>
      <c r="DH16" s="13"/>
      <c r="DI16" s="13"/>
      <c r="DJ16" s="13"/>
      <c r="DK16" s="60"/>
      <c r="DL16" s="99"/>
      <c r="DN16" s="163"/>
      <c r="DO16" s="161"/>
      <c r="DP16" s="63"/>
      <c r="DQ16" s="64"/>
      <c r="DR16" s="62"/>
      <c r="DS16" s="50"/>
      <c r="DT16" s="29"/>
      <c r="DU16" s="10"/>
      <c r="DV16" s="158"/>
      <c r="DW16" s="11"/>
      <c r="DX16" s="11"/>
      <c r="DY16" s="11"/>
      <c r="DZ16" s="12"/>
      <c r="EA16" s="12"/>
      <c r="EB16" s="12"/>
      <c r="EC16" s="12"/>
      <c r="ED16" s="12"/>
      <c r="EE16" s="152"/>
      <c r="EF16" s="152"/>
      <c r="EG16" s="61"/>
      <c r="EH16" s="13"/>
      <c r="EI16" s="13"/>
      <c r="EJ16" s="13"/>
      <c r="EK16" s="60"/>
      <c r="EL16" s="99"/>
      <c r="EN16" s="163"/>
      <c r="EO16" s="161"/>
      <c r="EP16" s="63"/>
      <c r="EQ16" s="64"/>
      <c r="ER16" s="62"/>
      <c r="ES16" s="50"/>
      <c r="ET16" s="29"/>
      <c r="EU16" s="10"/>
      <c r="EV16" s="158"/>
      <c r="EW16" s="11"/>
      <c r="EX16" s="11"/>
      <c r="EY16" s="11"/>
      <c r="EZ16" s="12"/>
      <c r="FA16" s="12"/>
      <c r="FB16" s="12"/>
      <c r="FC16" s="12"/>
      <c r="FD16" s="12"/>
      <c r="FE16" s="152"/>
      <c r="FF16" s="152"/>
      <c r="FG16" s="61"/>
      <c r="FH16" s="13"/>
      <c r="FI16" s="13"/>
      <c r="FJ16" s="13"/>
      <c r="FK16" s="60"/>
      <c r="FL16" s="99"/>
      <c r="FN16" s="163"/>
      <c r="FO16" s="161"/>
      <c r="FP16" s="63"/>
      <c r="FQ16" s="64"/>
      <c r="FR16" s="62"/>
      <c r="FS16" s="50"/>
      <c r="FT16" s="29"/>
      <c r="FU16" s="10"/>
      <c r="FV16" s="158"/>
      <c r="FW16" s="11"/>
      <c r="FX16" s="11"/>
      <c r="FY16" s="11"/>
      <c r="FZ16" s="12"/>
      <c r="GA16" s="12"/>
      <c r="GB16" s="12"/>
      <c r="GC16" s="12"/>
      <c r="GD16" s="12"/>
      <c r="GE16" s="152"/>
      <c r="GF16" s="152"/>
      <c r="GG16" s="61"/>
      <c r="GH16" s="13"/>
      <c r="GI16" s="13"/>
      <c r="GJ16" s="13"/>
      <c r="GK16" s="60"/>
      <c r="GL16" s="99"/>
      <c r="GN16" s="163"/>
      <c r="GO16" s="161"/>
      <c r="GP16" s="63"/>
      <c r="GQ16" s="64"/>
      <c r="GR16" s="62"/>
      <c r="GS16" s="50"/>
      <c r="GT16" s="29"/>
      <c r="GU16" s="10"/>
      <c r="GV16" s="158"/>
      <c r="GW16" s="11"/>
      <c r="GX16" s="11"/>
      <c r="GY16" s="11"/>
      <c r="GZ16" s="12"/>
      <c r="HA16" s="12"/>
      <c r="HB16" s="12"/>
      <c r="HC16" s="12"/>
      <c r="HD16" s="12"/>
      <c r="HE16" s="152"/>
      <c r="HF16" s="152"/>
      <c r="HG16" s="61"/>
      <c r="HH16" s="13"/>
      <c r="HI16" s="13"/>
      <c r="HJ16" s="13"/>
      <c r="HK16" s="60"/>
      <c r="HL16" s="99"/>
      <c r="HN16" s="163"/>
      <c r="HO16" s="161"/>
      <c r="HP16" s="63"/>
      <c r="HQ16" s="64"/>
      <c r="HR16" s="62"/>
      <c r="HS16" s="50"/>
      <c r="HT16" s="29"/>
      <c r="HU16" s="10"/>
      <c r="HV16" s="158"/>
      <c r="HW16" s="11"/>
      <c r="HX16" s="11"/>
      <c r="HY16" s="11"/>
      <c r="HZ16" s="12"/>
      <c r="IA16" s="12"/>
      <c r="IB16" s="12"/>
      <c r="IC16" s="12"/>
      <c r="ID16" s="12"/>
      <c r="IE16" s="152"/>
      <c r="IF16" s="152"/>
      <c r="IG16" s="61"/>
      <c r="IH16" s="13"/>
      <c r="II16" s="13"/>
      <c r="IJ16" s="13"/>
      <c r="IK16" s="60"/>
      <c r="IL16" s="99"/>
      <c r="IN16" s="163"/>
      <c r="IO16" s="161"/>
      <c r="IP16" s="63"/>
      <c r="IQ16" s="64"/>
      <c r="IR16" s="62"/>
      <c r="IS16" s="50"/>
      <c r="IT16" s="29"/>
      <c r="IU16" s="10"/>
      <c r="IV16" s="158"/>
      <c r="IW16" s="11"/>
      <c r="IX16" s="11"/>
      <c r="IY16" s="11"/>
      <c r="IZ16" s="12"/>
      <c r="JA16" s="12"/>
      <c r="JB16" s="12"/>
      <c r="JC16" s="12"/>
      <c r="JD16" s="12"/>
      <c r="JE16" s="152"/>
      <c r="JF16" s="152"/>
      <c r="JG16" s="61"/>
      <c r="JH16" s="13"/>
      <c r="JI16" s="13"/>
      <c r="JJ16" s="13"/>
      <c r="JK16" s="60"/>
      <c r="JL16" s="99"/>
      <c r="JN16" s="163"/>
      <c r="JO16" s="161"/>
      <c r="JP16" s="63"/>
      <c r="JQ16" s="64"/>
      <c r="JR16" s="62"/>
      <c r="JS16" s="50"/>
      <c r="JT16" s="29"/>
      <c r="JU16" s="10"/>
      <c r="JV16" s="158"/>
      <c r="JW16" s="11"/>
      <c r="JX16" s="11"/>
      <c r="JY16" s="11"/>
      <c r="JZ16" s="12"/>
      <c r="KA16" s="12"/>
      <c r="KB16" s="12"/>
      <c r="KC16" s="12"/>
      <c r="KD16" s="12"/>
      <c r="KE16" s="152"/>
      <c r="KF16" s="152"/>
      <c r="KG16" s="61"/>
      <c r="KH16" s="13"/>
      <c r="KI16" s="13"/>
      <c r="KJ16" s="13"/>
      <c r="KK16" s="60"/>
      <c r="KL16" s="99"/>
      <c r="KN16" s="163"/>
      <c r="KO16" s="161"/>
      <c r="KP16" s="63"/>
      <c r="KQ16" s="64"/>
      <c r="KR16" s="62"/>
      <c r="KS16" s="50"/>
      <c r="KT16" s="29"/>
      <c r="KU16" s="10"/>
      <c r="KV16" s="158"/>
      <c r="KW16" s="11"/>
      <c r="KX16" s="11"/>
      <c r="KY16" s="11"/>
      <c r="KZ16" s="12"/>
      <c r="LA16" s="12"/>
      <c r="LB16" s="12"/>
      <c r="LC16" s="12"/>
      <c r="LD16" s="12"/>
      <c r="LE16" s="152"/>
      <c r="LF16" s="152"/>
      <c r="LG16" s="61"/>
      <c r="LH16" s="13"/>
      <c r="LI16" s="13"/>
      <c r="LJ16" s="13"/>
      <c r="LK16" s="60"/>
      <c r="LL16" s="99"/>
      <c r="LO16" s="238"/>
    </row>
    <row r="17" spans="1:327" x14ac:dyDescent="0.35">
      <c r="A17" s="52"/>
      <c r="B17" s="69"/>
      <c r="C17" s="73"/>
      <c r="D17" s="55"/>
      <c r="E17" s="281"/>
      <c r="F17" s="56"/>
      <c r="G17" s="129"/>
      <c r="H17" s="59"/>
      <c r="I17" s="54"/>
      <c r="J17" s="59"/>
      <c r="K17" s="273"/>
      <c r="L17" s="67"/>
      <c r="M17" s="164"/>
      <c r="N17" s="163"/>
      <c r="O17" s="161"/>
      <c r="P17" s="63"/>
      <c r="Q17" s="163"/>
      <c r="R17" s="62"/>
      <c r="S17" s="50"/>
      <c r="T17" s="29"/>
      <c r="U17" s="10"/>
      <c r="V17" s="158"/>
      <c r="W17" s="11"/>
      <c r="X17" s="11"/>
      <c r="Y17" s="11"/>
      <c r="Z17" s="12"/>
      <c r="AA17" s="12"/>
      <c r="AB17" s="12"/>
      <c r="AC17" s="12"/>
      <c r="AD17" s="12"/>
      <c r="AE17" s="152"/>
      <c r="AF17" s="152"/>
      <c r="AG17" s="61"/>
      <c r="AH17" s="13"/>
      <c r="AI17" s="13"/>
      <c r="AJ17" s="13"/>
      <c r="AK17" s="60"/>
      <c r="AL17" s="99"/>
      <c r="AN17" s="163"/>
      <c r="AO17" s="161"/>
      <c r="AP17" s="63"/>
      <c r="AQ17" s="64"/>
      <c r="AR17" s="62"/>
      <c r="AS17" s="50"/>
      <c r="AT17" s="29"/>
      <c r="AU17" s="10"/>
      <c r="AV17" s="158"/>
      <c r="AW17" s="11"/>
      <c r="AX17" s="11"/>
      <c r="AY17" s="11"/>
      <c r="AZ17" s="12"/>
      <c r="BA17" s="12"/>
      <c r="BB17" s="12"/>
      <c r="BC17" s="12"/>
      <c r="BD17" s="12"/>
      <c r="BE17" s="152"/>
      <c r="BF17" s="152"/>
      <c r="BG17" s="61"/>
      <c r="BH17" s="13"/>
      <c r="BI17" s="13"/>
      <c r="BJ17" s="13"/>
      <c r="BK17" s="60"/>
      <c r="BL17" s="99"/>
      <c r="BM17" s="14"/>
      <c r="BN17" s="163"/>
      <c r="BO17" s="161"/>
      <c r="BP17" s="63"/>
      <c r="BQ17" s="64"/>
      <c r="BR17" s="62"/>
      <c r="BS17" s="50"/>
      <c r="BT17" s="29"/>
      <c r="BU17" s="10"/>
      <c r="BV17" s="158"/>
      <c r="BW17" s="11"/>
      <c r="BX17" s="11"/>
      <c r="BY17" s="11"/>
      <c r="BZ17" s="12"/>
      <c r="CA17" s="12"/>
      <c r="CB17" s="12"/>
      <c r="CC17" s="12"/>
      <c r="CD17" s="12"/>
      <c r="CE17" s="152"/>
      <c r="CF17" s="152"/>
      <c r="CG17" s="61"/>
      <c r="CH17" s="13"/>
      <c r="CI17" s="13"/>
      <c r="CJ17" s="13"/>
      <c r="CK17" s="60"/>
      <c r="CL17" s="99"/>
      <c r="CN17" s="163"/>
      <c r="CO17" s="161"/>
      <c r="CP17" s="63"/>
      <c r="CQ17" s="64"/>
      <c r="CR17" s="62"/>
      <c r="CS17" s="50"/>
      <c r="CT17" s="29"/>
      <c r="CU17" s="10"/>
      <c r="CV17" s="158"/>
      <c r="CW17" s="11"/>
      <c r="CX17" s="11"/>
      <c r="CY17" s="11"/>
      <c r="CZ17" s="12"/>
      <c r="DA17" s="12"/>
      <c r="DB17" s="12"/>
      <c r="DC17" s="12"/>
      <c r="DD17" s="12"/>
      <c r="DE17" s="152"/>
      <c r="DF17" s="152"/>
      <c r="DG17" s="61"/>
      <c r="DH17" s="13"/>
      <c r="DI17" s="13"/>
      <c r="DJ17" s="13"/>
      <c r="DK17" s="60"/>
      <c r="DL17" s="99"/>
      <c r="DN17" s="163"/>
      <c r="DO17" s="161"/>
      <c r="DP17" s="63"/>
      <c r="DQ17" s="64"/>
      <c r="DR17" s="62"/>
      <c r="DS17" s="50"/>
      <c r="DT17" s="29"/>
      <c r="DU17" s="10"/>
      <c r="DV17" s="158"/>
      <c r="DW17" s="11"/>
      <c r="DX17" s="11"/>
      <c r="DY17" s="11"/>
      <c r="DZ17" s="12"/>
      <c r="EA17" s="12"/>
      <c r="EB17" s="12"/>
      <c r="EC17" s="12"/>
      <c r="ED17" s="12"/>
      <c r="EE17" s="152"/>
      <c r="EF17" s="152"/>
      <c r="EG17" s="61"/>
      <c r="EH17" s="13"/>
      <c r="EI17" s="13"/>
      <c r="EJ17" s="13"/>
      <c r="EK17" s="60"/>
      <c r="EL17" s="99"/>
      <c r="EN17" s="163"/>
      <c r="EO17" s="161"/>
      <c r="EP17" s="63"/>
      <c r="EQ17" s="64"/>
      <c r="ER17" s="62"/>
      <c r="ES17" s="50"/>
      <c r="ET17" s="29"/>
      <c r="EU17" s="10"/>
      <c r="EV17" s="158"/>
      <c r="EW17" s="11"/>
      <c r="EX17" s="11"/>
      <c r="EY17" s="11"/>
      <c r="EZ17" s="12"/>
      <c r="FA17" s="12"/>
      <c r="FB17" s="12"/>
      <c r="FC17" s="12"/>
      <c r="FD17" s="12"/>
      <c r="FE17" s="152"/>
      <c r="FF17" s="152"/>
      <c r="FG17" s="61"/>
      <c r="FH17" s="13"/>
      <c r="FI17" s="13"/>
      <c r="FJ17" s="13"/>
      <c r="FK17" s="60"/>
      <c r="FL17" s="99"/>
      <c r="FN17" s="163"/>
      <c r="FO17" s="161"/>
      <c r="FP17" s="63"/>
      <c r="FQ17" s="64"/>
      <c r="FR17" s="62"/>
      <c r="FS17" s="50"/>
      <c r="FT17" s="29"/>
      <c r="FU17" s="10"/>
      <c r="FV17" s="158"/>
      <c r="FW17" s="11"/>
      <c r="FX17" s="11"/>
      <c r="FY17" s="11"/>
      <c r="FZ17" s="12"/>
      <c r="GA17" s="12"/>
      <c r="GB17" s="12"/>
      <c r="GC17" s="12"/>
      <c r="GD17" s="12"/>
      <c r="GE17" s="152"/>
      <c r="GF17" s="152"/>
      <c r="GG17" s="61"/>
      <c r="GH17" s="13"/>
      <c r="GI17" s="13"/>
      <c r="GJ17" s="13"/>
      <c r="GK17" s="60"/>
      <c r="GL17" s="99"/>
      <c r="GN17" s="163"/>
      <c r="GO17" s="161"/>
      <c r="GP17" s="63"/>
      <c r="GQ17" s="64"/>
      <c r="GR17" s="62"/>
      <c r="GS17" s="50"/>
      <c r="GT17" s="29"/>
      <c r="GU17" s="10"/>
      <c r="GV17" s="158"/>
      <c r="GW17" s="11"/>
      <c r="GX17" s="11"/>
      <c r="GY17" s="11"/>
      <c r="GZ17" s="12"/>
      <c r="HA17" s="12"/>
      <c r="HB17" s="12"/>
      <c r="HC17" s="12"/>
      <c r="HD17" s="12"/>
      <c r="HE17" s="152"/>
      <c r="HF17" s="152"/>
      <c r="HG17" s="61"/>
      <c r="HH17" s="13"/>
      <c r="HI17" s="13"/>
      <c r="HJ17" s="13"/>
      <c r="HK17" s="60"/>
      <c r="HL17" s="99"/>
      <c r="HN17" s="163"/>
      <c r="HO17" s="161"/>
      <c r="HP17" s="63"/>
      <c r="HQ17" s="64"/>
      <c r="HR17" s="62"/>
      <c r="HS17" s="50"/>
      <c r="HT17" s="29"/>
      <c r="HU17" s="10"/>
      <c r="HV17" s="158"/>
      <c r="HW17" s="11"/>
      <c r="HX17" s="11"/>
      <c r="HY17" s="11"/>
      <c r="HZ17" s="12"/>
      <c r="IA17" s="12"/>
      <c r="IB17" s="12"/>
      <c r="IC17" s="12"/>
      <c r="ID17" s="12"/>
      <c r="IE17" s="152"/>
      <c r="IF17" s="152"/>
      <c r="IG17" s="61"/>
      <c r="IH17" s="13"/>
      <c r="II17" s="13"/>
      <c r="IJ17" s="13"/>
      <c r="IK17" s="60"/>
      <c r="IL17" s="99"/>
      <c r="IN17" s="163"/>
      <c r="IO17" s="161"/>
      <c r="IP17" s="63"/>
      <c r="IQ17" s="64"/>
      <c r="IR17" s="62"/>
      <c r="IS17" s="50"/>
      <c r="IT17" s="29"/>
      <c r="IU17" s="10"/>
      <c r="IV17" s="158"/>
      <c r="IW17" s="11"/>
      <c r="IX17" s="11"/>
      <c r="IY17" s="11"/>
      <c r="IZ17" s="12"/>
      <c r="JA17" s="12"/>
      <c r="JB17" s="12"/>
      <c r="JC17" s="12"/>
      <c r="JD17" s="12"/>
      <c r="JE17" s="152"/>
      <c r="JF17" s="152"/>
      <c r="JG17" s="61"/>
      <c r="JH17" s="13"/>
      <c r="JI17" s="13"/>
      <c r="JJ17" s="13"/>
      <c r="JK17" s="60"/>
      <c r="JL17" s="99"/>
      <c r="JN17" s="163"/>
      <c r="JO17" s="161"/>
      <c r="JP17" s="63"/>
      <c r="JQ17" s="64"/>
      <c r="JR17" s="62"/>
      <c r="JS17" s="50"/>
      <c r="JT17" s="29"/>
      <c r="JU17" s="10"/>
      <c r="JV17" s="158"/>
      <c r="JW17" s="11"/>
      <c r="JX17" s="11"/>
      <c r="JY17" s="11"/>
      <c r="JZ17" s="12"/>
      <c r="KA17" s="12"/>
      <c r="KB17" s="12"/>
      <c r="KC17" s="12"/>
      <c r="KD17" s="12"/>
      <c r="KE17" s="152"/>
      <c r="KF17" s="152"/>
      <c r="KG17" s="61"/>
      <c r="KH17" s="13"/>
      <c r="KI17" s="13"/>
      <c r="KJ17" s="13"/>
      <c r="KK17" s="60"/>
      <c r="KL17" s="99"/>
      <c r="KN17" s="163"/>
      <c r="KO17" s="161"/>
      <c r="KP17" s="63"/>
      <c r="KQ17" s="64"/>
      <c r="KR17" s="62"/>
      <c r="KS17" s="50"/>
      <c r="KT17" s="29"/>
      <c r="KU17" s="10"/>
      <c r="KV17" s="158"/>
      <c r="KW17" s="11"/>
      <c r="KX17" s="11"/>
      <c r="KY17" s="11"/>
      <c r="KZ17" s="12"/>
      <c r="LA17" s="12"/>
      <c r="LB17" s="12"/>
      <c r="LC17" s="12"/>
      <c r="LD17" s="12"/>
      <c r="LE17" s="152"/>
      <c r="LF17" s="152"/>
      <c r="LG17" s="61"/>
      <c r="LH17" s="13"/>
      <c r="LI17" s="13"/>
      <c r="LJ17" s="13"/>
      <c r="LK17" s="60"/>
      <c r="LL17" s="99"/>
      <c r="LO17" s="238"/>
    </row>
    <row r="18" spans="1:327" x14ac:dyDescent="0.35">
      <c r="A18" s="52"/>
      <c r="B18" s="69"/>
      <c r="C18" s="73"/>
      <c r="D18" s="55"/>
      <c r="E18" s="281"/>
      <c r="F18" s="56"/>
      <c r="G18" s="289"/>
      <c r="H18" s="59"/>
      <c r="I18" s="54"/>
      <c r="J18" s="59"/>
      <c r="K18" s="273"/>
      <c r="L18" s="67"/>
      <c r="M18" s="164"/>
      <c r="N18" s="163"/>
      <c r="O18" s="161"/>
      <c r="P18" s="63"/>
      <c r="Q18" s="163"/>
      <c r="R18" s="62"/>
      <c r="S18" s="50"/>
      <c r="T18" s="29"/>
      <c r="U18" s="10"/>
      <c r="V18" s="158"/>
      <c r="W18" s="11"/>
      <c r="X18" s="11"/>
      <c r="Y18" s="11"/>
      <c r="Z18" s="12"/>
      <c r="AA18" s="12"/>
      <c r="AB18" s="12"/>
      <c r="AC18" s="12"/>
      <c r="AD18" s="12"/>
      <c r="AE18" s="152"/>
      <c r="AF18" s="152"/>
      <c r="AG18" s="61"/>
      <c r="AH18" s="13"/>
      <c r="AI18" s="13"/>
      <c r="AJ18" s="13"/>
      <c r="AK18" s="60"/>
      <c r="AL18" s="99"/>
      <c r="AN18" s="163"/>
      <c r="AO18" s="161"/>
      <c r="AP18" s="63"/>
      <c r="AQ18" s="64"/>
      <c r="AR18" s="62"/>
      <c r="AS18" s="50"/>
      <c r="AT18" s="29"/>
      <c r="AU18" s="10"/>
      <c r="AV18" s="158"/>
      <c r="AW18" s="11"/>
      <c r="AX18" s="11"/>
      <c r="AY18" s="11"/>
      <c r="AZ18" s="12"/>
      <c r="BA18" s="12"/>
      <c r="BB18" s="12"/>
      <c r="BC18" s="12"/>
      <c r="BD18" s="12"/>
      <c r="BE18" s="152"/>
      <c r="BF18" s="152"/>
      <c r="BG18" s="61"/>
      <c r="BH18" s="13"/>
      <c r="BI18" s="13"/>
      <c r="BJ18" s="13"/>
      <c r="BK18" s="60"/>
      <c r="BL18" s="99"/>
      <c r="BM18" s="14"/>
      <c r="BN18" s="163"/>
      <c r="BO18" s="161"/>
      <c r="BP18" s="63"/>
      <c r="BQ18" s="64"/>
      <c r="BR18" s="62"/>
      <c r="BS18" s="50"/>
      <c r="BT18" s="29"/>
      <c r="BU18" s="10"/>
      <c r="BV18" s="158"/>
      <c r="BW18" s="11"/>
      <c r="BX18" s="11"/>
      <c r="BY18" s="11"/>
      <c r="BZ18" s="12"/>
      <c r="CA18" s="12"/>
      <c r="CB18" s="12"/>
      <c r="CC18" s="12"/>
      <c r="CD18" s="12"/>
      <c r="CE18" s="152"/>
      <c r="CF18" s="152"/>
      <c r="CG18" s="61"/>
      <c r="CH18" s="13"/>
      <c r="CI18" s="13"/>
      <c r="CJ18" s="13"/>
      <c r="CK18" s="60"/>
      <c r="CL18" s="99"/>
      <c r="CN18" s="163"/>
      <c r="CO18" s="161"/>
      <c r="CP18" s="63"/>
      <c r="CQ18" s="64"/>
      <c r="CR18" s="62"/>
      <c r="CS18" s="50"/>
      <c r="CT18" s="29"/>
      <c r="CU18" s="10"/>
      <c r="CV18" s="158"/>
      <c r="CW18" s="11"/>
      <c r="CX18" s="11"/>
      <c r="CY18" s="11"/>
      <c r="CZ18" s="12"/>
      <c r="DA18" s="12"/>
      <c r="DB18" s="12"/>
      <c r="DC18" s="12"/>
      <c r="DD18" s="12"/>
      <c r="DE18" s="152"/>
      <c r="DF18" s="152"/>
      <c r="DG18" s="61"/>
      <c r="DH18" s="13"/>
      <c r="DI18" s="13"/>
      <c r="DJ18" s="13"/>
      <c r="DK18" s="60"/>
      <c r="DL18" s="99"/>
      <c r="DN18" s="163"/>
      <c r="DO18" s="161"/>
      <c r="DP18" s="63"/>
      <c r="DQ18" s="64"/>
      <c r="DR18" s="62"/>
      <c r="DS18" s="50"/>
      <c r="DT18" s="29"/>
      <c r="DU18" s="10"/>
      <c r="DV18" s="158"/>
      <c r="DW18" s="11"/>
      <c r="DX18" s="11"/>
      <c r="DY18" s="11"/>
      <c r="DZ18" s="12"/>
      <c r="EA18" s="12"/>
      <c r="EB18" s="12"/>
      <c r="EC18" s="12"/>
      <c r="ED18" s="12"/>
      <c r="EE18" s="152"/>
      <c r="EF18" s="152"/>
      <c r="EG18" s="61"/>
      <c r="EH18" s="13"/>
      <c r="EI18" s="13"/>
      <c r="EJ18" s="13"/>
      <c r="EK18" s="60"/>
      <c r="EL18" s="99"/>
      <c r="EN18" s="163"/>
      <c r="EO18" s="161"/>
      <c r="EP18" s="63"/>
      <c r="EQ18" s="64"/>
      <c r="ER18" s="62"/>
      <c r="ES18" s="50"/>
      <c r="ET18" s="29"/>
      <c r="EU18" s="10"/>
      <c r="EV18" s="158"/>
      <c r="EW18" s="11"/>
      <c r="EX18" s="11"/>
      <c r="EY18" s="11"/>
      <c r="EZ18" s="12"/>
      <c r="FA18" s="12"/>
      <c r="FB18" s="12"/>
      <c r="FC18" s="12"/>
      <c r="FD18" s="12"/>
      <c r="FE18" s="152"/>
      <c r="FF18" s="152"/>
      <c r="FG18" s="61"/>
      <c r="FH18" s="13"/>
      <c r="FI18" s="13"/>
      <c r="FJ18" s="13"/>
      <c r="FK18" s="60"/>
      <c r="FL18" s="99"/>
      <c r="FN18" s="163"/>
      <c r="FO18" s="161"/>
      <c r="FP18" s="63"/>
      <c r="FQ18" s="64"/>
      <c r="FR18" s="62"/>
      <c r="FS18" s="50"/>
      <c r="FT18" s="29"/>
      <c r="FU18" s="10"/>
      <c r="FV18" s="158"/>
      <c r="FW18" s="11"/>
      <c r="FX18" s="11"/>
      <c r="FY18" s="11"/>
      <c r="FZ18" s="12"/>
      <c r="GA18" s="12"/>
      <c r="GB18" s="12"/>
      <c r="GC18" s="12"/>
      <c r="GD18" s="12"/>
      <c r="GE18" s="152"/>
      <c r="GF18" s="152"/>
      <c r="GG18" s="61"/>
      <c r="GH18" s="13"/>
      <c r="GI18" s="13"/>
      <c r="GJ18" s="13"/>
      <c r="GK18" s="60"/>
      <c r="GL18" s="99"/>
      <c r="GN18" s="163"/>
      <c r="GO18" s="161"/>
      <c r="GP18" s="63"/>
      <c r="GQ18" s="64"/>
      <c r="GR18" s="62"/>
      <c r="GS18" s="50"/>
      <c r="GT18" s="29"/>
      <c r="GU18" s="10"/>
      <c r="GV18" s="158"/>
      <c r="GW18" s="11"/>
      <c r="GX18" s="11"/>
      <c r="GY18" s="11"/>
      <c r="GZ18" s="12"/>
      <c r="HA18" s="12"/>
      <c r="HB18" s="12"/>
      <c r="HC18" s="12"/>
      <c r="HD18" s="12"/>
      <c r="HE18" s="152"/>
      <c r="HF18" s="152"/>
      <c r="HG18" s="61"/>
      <c r="HH18" s="13"/>
      <c r="HI18" s="13"/>
      <c r="HJ18" s="13"/>
      <c r="HK18" s="60"/>
      <c r="HL18" s="99"/>
      <c r="HN18" s="163"/>
      <c r="HO18" s="161"/>
      <c r="HP18" s="63"/>
      <c r="HQ18" s="64"/>
      <c r="HR18" s="62"/>
      <c r="HS18" s="50"/>
      <c r="HT18" s="29"/>
      <c r="HU18" s="10"/>
      <c r="HV18" s="158"/>
      <c r="HW18" s="11"/>
      <c r="HX18" s="11"/>
      <c r="HY18" s="11"/>
      <c r="HZ18" s="12"/>
      <c r="IA18" s="12"/>
      <c r="IB18" s="12"/>
      <c r="IC18" s="12"/>
      <c r="ID18" s="12"/>
      <c r="IE18" s="152"/>
      <c r="IF18" s="152"/>
      <c r="IG18" s="61"/>
      <c r="IH18" s="13"/>
      <c r="II18" s="13"/>
      <c r="IJ18" s="13"/>
      <c r="IK18" s="60"/>
      <c r="IL18" s="99"/>
      <c r="IN18" s="163"/>
      <c r="IO18" s="161"/>
      <c r="IP18" s="63"/>
      <c r="IQ18" s="64"/>
      <c r="IR18" s="62"/>
      <c r="IS18" s="50"/>
      <c r="IT18" s="29"/>
      <c r="IU18" s="10"/>
      <c r="IV18" s="158"/>
      <c r="IW18" s="11"/>
      <c r="IX18" s="11"/>
      <c r="IY18" s="11"/>
      <c r="IZ18" s="12"/>
      <c r="JA18" s="12"/>
      <c r="JB18" s="12"/>
      <c r="JC18" s="12"/>
      <c r="JD18" s="12"/>
      <c r="JE18" s="152"/>
      <c r="JF18" s="152"/>
      <c r="JG18" s="61"/>
      <c r="JH18" s="13"/>
      <c r="JI18" s="13"/>
      <c r="JJ18" s="13"/>
      <c r="JK18" s="60"/>
      <c r="JL18" s="99"/>
      <c r="JN18" s="163"/>
      <c r="JO18" s="161"/>
      <c r="JP18" s="63"/>
      <c r="JQ18" s="64"/>
      <c r="JR18" s="62"/>
      <c r="JS18" s="50"/>
      <c r="JT18" s="29"/>
      <c r="JU18" s="10"/>
      <c r="JV18" s="158"/>
      <c r="JW18" s="11"/>
      <c r="JX18" s="11"/>
      <c r="JY18" s="11"/>
      <c r="JZ18" s="12"/>
      <c r="KA18" s="12"/>
      <c r="KB18" s="12"/>
      <c r="KC18" s="12"/>
      <c r="KD18" s="12"/>
      <c r="KE18" s="152"/>
      <c r="KF18" s="152"/>
      <c r="KG18" s="61"/>
      <c r="KH18" s="13"/>
      <c r="KI18" s="13"/>
      <c r="KJ18" s="13"/>
      <c r="KK18" s="60"/>
      <c r="KL18" s="99"/>
      <c r="KN18" s="163"/>
      <c r="KO18" s="161"/>
      <c r="KP18" s="63"/>
      <c r="KQ18" s="64"/>
      <c r="KR18" s="62"/>
      <c r="KS18" s="50"/>
      <c r="KT18" s="29"/>
      <c r="KU18" s="10"/>
      <c r="KV18" s="158"/>
      <c r="KW18" s="11"/>
      <c r="KX18" s="11"/>
      <c r="KY18" s="11"/>
      <c r="KZ18" s="12"/>
      <c r="LA18" s="12"/>
      <c r="LB18" s="12"/>
      <c r="LC18" s="12"/>
      <c r="LD18" s="12"/>
      <c r="LE18" s="152"/>
      <c r="LF18" s="152"/>
      <c r="LG18" s="61"/>
      <c r="LH18" s="13"/>
      <c r="LI18" s="13"/>
      <c r="LJ18" s="13"/>
      <c r="LK18" s="60"/>
      <c r="LL18" s="99"/>
      <c r="LO18" s="238"/>
    </row>
    <row r="19" spans="1:327" x14ac:dyDescent="0.35">
      <c r="A19" s="52"/>
      <c r="B19" s="69"/>
      <c r="C19" s="73"/>
      <c r="D19" s="55"/>
      <c r="E19" s="281"/>
      <c r="F19" s="56"/>
      <c r="G19" s="129"/>
      <c r="H19" s="59"/>
      <c r="I19" s="54"/>
      <c r="J19" s="59"/>
      <c r="K19" s="273"/>
      <c r="L19" s="67"/>
      <c r="M19" s="164"/>
      <c r="N19" s="163"/>
      <c r="O19" s="161"/>
      <c r="P19" s="63"/>
      <c r="Q19" s="163"/>
      <c r="R19" s="62"/>
      <c r="S19" s="50"/>
      <c r="T19" s="29"/>
      <c r="U19" s="10"/>
      <c r="V19" s="158"/>
      <c r="W19" s="11"/>
      <c r="X19" s="11"/>
      <c r="Y19" s="11"/>
      <c r="Z19" s="12"/>
      <c r="AA19" s="12"/>
      <c r="AB19" s="12"/>
      <c r="AC19" s="12"/>
      <c r="AD19" s="12"/>
      <c r="AE19" s="152"/>
      <c r="AF19" s="152"/>
      <c r="AG19" s="61"/>
      <c r="AH19" s="13"/>
      <c r="AI19" s="13"/>
      <c r="AJ19" s="13"/>
      <c r="AK19" s="60"/>
      <c r="AL19" s="99"/>
      <c r="AN19" s="163"/>
      <c r="AO19" s="161"/>
      <c r="AP19" s="63"/>
      <c r="AQ19" s="64"/>
      <c r="AR19" s="62"/>
      <c r="AS19" s="50"/>
      <c r="AT19" s="29"/>
      <c r="AU19" s="10"/>
      <c r="AV19" s="158"/>
      <c r="AW19" s="11"/>
      <c r="AX19" s="11"/>
      <c r="AY19" s="11"/>
      <c r="AZ19" s="12"/>
      <c r="BA19" s="12"/>
      <c r="BB19" s="12"/>
      <c r="BC19" s="12"/>
      <c r="BD19" s="12"/>
      <c r="BE19" s="152"/>
      <c r="BF19" s="152"/>
      <c r="BG19" s="61"/>
      <c r="BH19" s="13"/>
      <c r="BI19" s="13"/>
      <c r="BJ19" s="13"/>
      <c r="BK19" s="60"/>
      <c r="BL19" s="99"/>
      <c r="BM19" s="14"/>
      <c r="BN19" s="163"/>
      <c r="BO19" s="161"/>
      <c r="BP19" s="63"/>
      <c r="BQ19" s="64"/>
      <c r="BR19" s="62"/>
      <c r="BS19" s="50"/>
      <c r="BT19" s="29"/>
      <c r="BU19" s="10"/>
      <c r="BV19" s="158"/>
      <c r="BW19" s="11"/>
      <c r="BX19" s="11"/>
      <c r="BY19" s="11"/>
      <c r="BZ19" s="12"/>
      <c r="CA19" s="12"/>
      <c r="CB19" s="12"/>
      <c r="CC19" s="12"/>
      <c r="CD19" s="12"/>
      <c r="CE19" s="152"/>
      <c r="CF19" s="152"/>
      <c r="CG19" s="61"/>
      <c r="CH19" s="13"/>
      <c r="CI19" s="13"/>
      <c r="CJ19" s="13"/>
      <c r="CK19" s="60"/>
      <c r="CL19" s="99"/>
      <c r="CN19" s="163"/>
      <c r="CO19" s="161"/>
      <c r="CP19" s="63"/>
      <c r="CQ19" s="64"/>
      <c r="CR19" s="62"/>
      <c r="CS19" s="50"/>
      <c r="CT19" s="29"/>
      <c r="CU19" s="10"/>
      <c r="CV19" s="158"/>
      <c r="CW19" s="11"/>
      <c r="CX19" s="11"/>
      <c r="CY19" s="11"/>
      <c r="CZ19" s="12"/>
      <c r="DA19" s="12"/>
      <c r="DB19" s="12"/>
      <c r="DC19" s="12"/>
      <c r="DD19" s="12"/>
      <c r="DE19" s="152"/>
      <c r="DF19" s="152"/>
      <c r="DG19" s="61"/>
      <c r="DH19" s="13"/>
      <c r="DI19" s="13"/>
      <c r="DJ19" s="13"/>
      <c r="DK19" s="60"/>
      <c r="DL19" s="99"/>
      <c r="DN19" s="163"/>
      <c r="DO19" s="161"/>
      <c r="DP19" s="63"/>
      <c r="DQ19" s="64"/>
      <c r="DR19" s="62"/>
      <c r="DS19" s="50"/>
      <c r="DT19" s="29"/>
      <c r="DU19" s="10"/>
      <c r="DV19" s="158"/>
      <c r="DW19" s="11"/>
      <c r="DX19" s="11"/>
      <c r="DY19" s="11"/>
      <c r="DZ19" s="12"/>
      <c r="EA19" s="12"/>
      <c r="EB19" s="12"/>
      <c r="EC19" s="12"/>
      <c r="ED19" s="12"/>
      <c r="EE19" s="152"/>
      <c r="EF19" s="152"/>
      <c r="EG19" s="61"/>
      <c r="EH19" s="13"/>
      <c r="EI19" s="13"/>
      <c r="EJ19" s="13"/>
      <c r="EK19" s="60"/>
      <c r="EL19" s="99"/>
      <c r="EN19" s="163"/>
      <c r="EO19" s="161"/>
      <c r="EP19" s="63"/>
      <c r="EQ19" s="64"/>
      <c r="ER19" s="62"/>
      <c r="ES19" s="50"/>
      <c r="ET19" s="29"/>
      <c r="EU19" s="10"/>
      <c r="EV19" s="158"/>
      <c r="EW19" s="11"/>
      <c r="EX19" s="11"/>
      <c r="EY19" s="11"/>
      <c r="EZ19" s="12"/>
      <c r="FA19" s="12"/>
      <c r="FB19" s="12"/>
      <c r="FC19" s="12"/>
      <c r="FD19" s="12"/>
      <c r="FE19" s="152"/>
      <c r="FF19" s="152"/>
      <c r="FG19" s="61"/>
      <c r="FH19" s="13"/>
      <c r="FI19" s="13"/>
      <c r="FJ19" s="13"/>
      <c r="FK19" s="60"/>
      <c r="FL19" s="99"/>
      <c r="FN19" s="163"/>
      <c r="FO19" s="161"/>
      <c r="FP19" s="63"/>
      <c r="FQ19" s="64"/>
      <c r="FR19" s="62"/>
      <c r="FS19" s="50"/>
      <c r="FT19" s="29"/>
      <c r="FU19" s="10"/>
      <c r="FV19" s="158"/>
      <c r="FW19" s="11"/>
      <c r="FX19" s="11"/>
      <c r="FY19" s="11"/>
      <c r="FZ19" s="12"/>
      <c r="GA19" s="12"/>
      <c r="GB19" s="12"/>
      <c r="GC19" s="12"/>
      <c r="GD19" s="12"/>
      <c r="GE19" s="152"/>
      <c r="GF19" s="152"/>
      <c r="GG19" s="61"/>
      <c r="GH19" s="13"/>
      <c r="GI19" s="13"/>
      <c r="GJ19" s="13"/>
      <c r="GK19" s="60"/>
      <c r="GL19" s="99"/>
      <c r="GN19" s="163"/>
      <c r="GO19" s="161"/>
      <c r="GP19" s="63"/>
      <c r="GQ19" s="64"/>
      <c r="GR19" s="62"/>
      <c r="GS19" s="50"/>
      <c r="GT19" s="29"/>
      <c r="GU19" s="10"/>
      <c r="GV19" s="158"/>
      <c r="GW19" s="11"/>
      <c r="GX19" s="11"/>
      <c r="GY19" s="11"/>
      <c r="GZ19" s="12"/>
      <c r="HA19" s="12"/>
      <c r="HB19" s="12"/>
      <c r="HC19" s="12"/>
      <c r="HD19" s="12"/>
      <c r="HE19" s="152"/>
      <c r="HF19" s="152"/>
      <c r="HG19" s="61"/>
      <c r="HH19" s="13"/>
      <c r="HI19" s="13"/>
      <c r="HJ19" s="13"/>
      <c r="HK19" s="60"/>
      <c r="HL19" s="99"/>
      <c r="HN19" s="163"/>
      <c r="HO19" s="161"/>
      <c r="HP19" s="63"/>
      <c r="HQ19" s="64"/>
      <c r="HR19" s="62"/>
      <c r="HS19" s="50"/>
      <c r="HT19" s="29"/>
      <c r="HU19" s="10"/>
      <c r="HV19" s="158"/>
      <c r="HW19" s="11"/>
      <c r="HX19" s="11"/>
      <c r="HY19" s="11"/>
      <c r="HZ19" s="12"/>
      <c r="IA19" s="12"/>
      <c r="IB19" s="12"/>
      <c r="IC19" s="12"/>
      <c r="ID19" s="12"/>
      <c r="IE19" s="152"/>
      <c r="IF19" s="152"/>
      <c r="IG19" s="61"/>
      <c r="IH19" s="13"/>
      <c r="II19" s="13"/>
      <c r="IJ19" s="13"/>
      <c r="IK19" s="60"/>
      <c r="IL19" s="99"/>
      <c r="IN19" s="163"/>
      <c r="IO19" s="161"/>
      <c r="IP19" s="63"/>
      <c r="IQ19" s="64"/>
      <c r="IR19" s="62"/>
      <c r="IS19" s="50"/>
      <c r="IT19" s="29"/>
      <c r="IU19" s="10"/>
      <c r="IV19" s="158"/>
      <c r="IW19" s="11"/>
      <c r="IX19" s="11"/>
      <c r="IY19" s="11"/>
      <c r="IZ19" s="12"/>
      <c r="JA19" s="12"/>
      <c r="JB19" s="12"/>
      <c r="JC19" s="12"/>
      <c r="JD19" s="12"/>
      <c r="JE19" s="152"/>
      <c r="JF19" s="152"/>
      <c r="JG19" s="61"/>
      <c r="JH19" s="13"/>
      <c r="JI19" s="13"/>
      <c r="JJ19" s="13"/>
      <c r="JK19" s="60"/>
      <c r="JL19" s="99"/>
      <c r="JN19" s="163"/>
      <c r="JO19" s="161"/>
      <c r="JP19" s="63"/>
      <c r="JQ19" s="64"/>
      <c r="JR19" s="62"/>
      <c r="JS19" s="50"/>
      <c r="JT19" s="29"/>
      <c r="JU19" s="10"/>
      <c r="JV19" s="158"/>
      <c r="JW19" s="11"/>
      <c r="JX19" s="11"/>
      <c r="JY19" s="11"/>
      <c r="JZ19" s="12"/>
      <c r="KA19" s="12"/>
      <c r="KB19" s="12"/>
      <c r="KC19" s="12"/>
      <c r="KD19" s="12"/>
      <c r="KE19" s="152"/>
      <c r="KF19" s="152"/>
      <c r="KG19" s="61"/>
      <c r="KH19" s="13"/>
      <c r="KI19" s="13"/>
      <c r="KJ19" s="13"/>
      <c r="KK19" s="60"/>
      <c r="KL19" s="99"/>
      <c r="KN19" s="163"/>
      <c r="KO19" s="161"/>
      <c r="KP19" s="63"/>
      <c r="KQ19" s="64"/>
      <c r="KR19" s="62"/>
      <c r="KS19" s="50"/>
      <c r="KT19" s="29"/>
      <c r="KU19" s="10"/>
      <c r="KV19" s="158"/>
      <c r="KW19" s="11"/>
      <c r="KX19" s="11"/>
      <c r="KY19" s="11"/>
      <c r="KZ19" s="12"/>
      <c r="LA19" s="12"/>
      <c r="LB19" s="12"/>
      <c r="LC19" s="12"/>
      <c r="LD19" s="12"/>
      <c r="LE19" s="152"/>
      <c r="LF19" s="152"/>
      <c r="LG19" s="61"/>
      <c r="LH19" s="13"/>
      <c r="LI19" s="13"/>
      <c r="LJ19" s="13"/>
      <c r="LK19" s="60"/>
      <c r="LL19" s="99"/>
      <c r="LO19" s="238"/>
    </row>
    <row r="20" spans="1:327" x14ac:dyDescent="0.35">
      <c r="A20" s="52"/>
      <c r="B20" s="69"/>
      <c r="C20" s="73"/>
      <c r="D20" s="55"/>
      <c r="E20" s="281"/>
      <c r="F20" s="56"/>
      <c r="G20" s="129"/>
      <c r="H20" s="59"/>
      <c r="I20" s="54"/>
      <c r="J20" s="59"/>
      <c r="K20" s="273"/>
      <c r="L20" s="67"/>
      <c r="M20" s="164"/>
      <c r="N20" s="163"/>
      <c r="O20" s="161"/>
      <c r="P20" s="63"/>
      <c r="Q20" s="163"/>
      <c r="R20" s="62"/>
      <c r="S20" s="50"/>
      <c r="T20" s="29"/>
      <c r="U20" s="10"/>
      <c r="V20" s="158"/>
      <c r="W20" s="11"/>
      <c r="X20" s="11"/>
      <c r="Y20" s="11"/>
      <c r="Z20" s="12"/>
      <c r="AA20" s="12"/>
      <c r="AB20" s="12"/>
      <c r="AC20" s="12"/>
      <c r="AD20" s="12"/>
      <c r="AE20" s="152"/>
      <c r="AF20" s="152"/>
      <c r="AG20" s="61"/>
      <c r="AH20" s="13"/>
      <c r="AI20" s="13"/>
      <c r="AJ20" s="13"/>
      <c r="AK20" s="60"/>
      <c r="AL20" s="99"/>
      <c r="AN20" s="163"/>
      <c r="AO20" s="161"/>
      <c r="AP20" s="63"/>
      <c r="AQ20" s="64"/>
      <c r="AR20" s="62"/>
      <c r="AS20" s="50"/>
      <c r="AT20" s="29"/>
      <c r="AU20" s="10"/>
      <c r="AV20" s="158"/>
      <c r="AW20" s="11"/>
      <c r="AX20" s="11"/>
      <c r="AY20" s="11"/>
      <c r="AZ20" s="12"/>
      <c r="BA20" s="12"/>
      <c r="BB20" s="12"/>
      <c r="BC20" s="12"/>
      <c r="BD20" s="12"/>
      <c r="BE20" s="152"/>
      <c r="BF20" s="152"/>
      <c r="BG20" s="61"/>
      <c r="BH20" s="13"/>
      <c r="BI20" s="13"/>
      <c r="BJ20" s="13"/>
      <c r="BK20" s="60"/>
      <c r="BL20" s="99"/>
      <c r="BM20" s="14"/>
      <c r="BN20" s="163"/>
      <c r="BO20" s="161"/>
      <c r="BP20" s="63"/>
      <c r="BQ20" s="64"/>
      <c r="BR20" s="62"/>
      <c r="BS20" s="50"/>
      <c r="BT20" s="29"/>
      <c r="BU20" s="10"/>
      <c r="BV20" s="158"/>
      <c r="BW20" s="11"/>
      <c r="BX20" s="11"/>
      <c r="BY20" s="11"/>
      <c r="BZ20" s="12"/>
      <c r="CA20" s="12"/>
      <c r="CB20" s="12"/>
      <c r="CC20" s="12"/>
      <c r="CD20" s="12"/>
      <c r="CE20" s="152"/>
      <c r="CF20" s="152"/>
      <c r="CG20" s="61"/>
      <c r="CH20" s="13"/>
      <c r="CI20" s="13"/>
      <c r="CJ20" s="13"/>
      <c r="CK20" s="60"/>
      <c r="CL20" s="99"/>
      <c r="CN20" s="163"/>
      <c r="CO20" s="161"/>
      <c r="CP20" s="63"/>
      <c r="CQ20" s="64"/>
      <c r="CR20" s="62"/>
      <c r="CS20" s="50"/>
      <c r="CT20" s="29"/>
      <c r="CU20" s="10"/>
      <c r="CV20" s="158"/>
      <c r="CW20" s="11"/>
      <c r="CX20" s="11"/>
      <c r="CY20" s="11"/>
      <c r="CZ20" s="12"/>
      <c r="DA20" s="12"/>
      <c r="DB20" s="12"/>
      <c r="DC20" s="12"/>
      <c r="DD20" s="12"/>
      <c r="DE20" s="152"/>
      <c r="DF20" s="152"/>
      <c r="DG20" s="61"/>
      <c r="DH20" s="13"/>
      <c r="DI20" s="13"/>
      <c r="DJ20" s="13"/>
      <c r="DK20" s="60"/>
      <c r="DL20" s="99"/>
      <c r="DN20" s="163"/>
      <c r="DO20" s="161"/>
      <c r="DP20" s="63"/>
      <c r="DQ20" s="64"/>
      <c r="DR20" s="62"/>
      <c r="DS20" s="50"/>
      <c r="DT20" s="29"/>
      <c r="DU20" s="10"/>
      <c r="DV20" s="158"/>
      <c r="DW20" s="11"/>
      <c r="DX20" s="11"/>
      <c r="DY20" s="11"/>
      <c r="DZ20" s="12"/>
      <c r="EA20" s="12"/>
      <c r="EB20" s="12"/>
      <c r="EC20" s="12"/>
      <c r="ED20" s="12"/>
      <c r="EE20" s="152"/>
      <c r="EF20" s="152"/>
      <c r="EG20" s="61"/>
      <c r="EH20" s="13"/>
      <c r="EI20" s="13"/>
      <c r="EJ20" s="13"/>
      <c r="EK20" s="60"/>
      <c r="EL20" s="99"/>
      <c r="EN20" s="163"/>
      <c r="EO20" s="161"/>
      <c r="EP20" s="63"/>
      <c r="EQ20" s="64"/>
      <c r="ER20" s="62"/>
      <c r="ES20" s="50"/>
      <c r="ET20" s="29"/>
      <c r="EU20" s="10"/>
      <c r="EV20" s="158"/>
      <c r="EW20" s="11"/>
      <c r="EX20" s="11"/>
      <c r="EY20" s="11"/>
      <c r="EZ20" s="12"/>
      <c r="FA20" s="12"/>
      <c r="FB20" s="12"/>
      <c r="FC20" s="12"/>
      <c r="FD20" s="12"/>
      <c r="FE20" s="152"/>
      <c r="FF20" s="152"/>
      <c r="FG20" s="61"/>
      <c r="FH20" s="13"/>
      <c r="FI20" s="13"/>
      <c r="FJ20" s="13"/>
      <c r="FK20" s="60"/>
      <c r="FL20" s="99"/>
      <c r="FN20" s="163"/>
      <c r="FO20" s="161"/>
      <c r="FP20" s="63"/>
      <c r="FQ20" s="64"/>
      <c r="FR20" s="62"/>
      <c r="FS20" s="50"/>
      <c r="FT20" s="29"/>
      <c r="FU20" s="10"/>
      <c r="FV20" s="158"/>
      <c r="FW20" s="11"/>
      <c r="FX20" s="11"/>
      <c r="FY20" s="11"/>
      <c r="FZ20" s="12"/>
      <c r="GA20" s="12"/>
      <c r="GB20" s="12"/>
      <c r="GC20" s="12"/>
      <c r="GD20" s="12"/>
      <c r="GE20" s="152"/>
      <c r="GF20" s="152"/>
      <c r="GG20" s="61"/>
      <c r="GH20" s="13"/>
      <c r="GI20" s="13"/>
      <c r="GJ20" s="13"/>
      <c r="GK20" s="60"/>
      <c r="GL20" s="99"/>
      <c r="GN20" s="163"/>
      <c r="GO20" s="161"/>
      <c r="GP20" s="63"/>
      <c r="GQ20" s="64"/>
      <c r="GR20" s="62"/>
      <c r="GS20" s="50"/>
      <c r="GT20" s="29"/>
      <c r="GU20" s="10"/>
      <c r="GV20" s="158"/>
      <c r="GW20" s="11"/>
      <c r="GX20" s="11"/>
      <c r="GY20" s="11"/>
      <c r="GZ20" s="12"/>
      <c r="HA20" s="12"/>
      <c r="HB20" s="12"/>
      <c r="HC20" s="12"/>
      <c r="HD20" s="12"/>
      <c r="HE20" s="152"/>
      <c r="HF20" s="152"/>
      <c r="HG20" s="61"/>
      <c r="HH20" s="13"/>
      <c r="HI20" s="13"/>
      <c r="HJ20" s="13"/>
      <c r="HK20" s="60"/>
      <c r="HL20" s="99"/>
      <c r="HN20" s="163"/>
      <c r="HO20" s="161"/>
      <c r="HP20" s="63"/>
      <c r="HQ20" s="64"/>
      <c r="HR20" s="62"/>
      <c r="HS20" s="50"/>
      <c r="HT20" s="29"/>
      <c r="HU20" s="10"/>
      <c r="HV20" s="158"/>
      <c r="HW20" s="11"/>
      <c r="HX20" s="11"/>
      <c r="HY20" s="11"/>
      <c r="HZ20" s="12"/>
      <c r="IA20" s="12"/>
      <c r="IB20" s="12"/>
      <c r="IC20" s="12"/>
      <c r="ID20" s="12"/>
      <c r="IE20" s="152"/>
      <c r="IF20" s="152"/>
      <c r="IG20" s="61"/>
      <c r="IH20" s="13"/>
      <c r="II20" s="13"/>
      <c r="IJ20" s="13"/>
      <c r="IK20" s="60"/>
      <c r="IL20" s="99"/>
      <c r="IN20" s="163"/>
      <c r="IO20" s="161"/>
      <c r="IP20" s="63"/>
      <c r="IQ20" s="64"/>
      <c r="IR20" s="62"/>
      <c r="IS20" s="50"/>
      <c r="IT20" s="29"/>
      <c r="IU20" s="10"/>
      <c r="IV20" s="158"/>
      <c r="IW20" s="11"/>
      <c r="IX20" s="11"/>
      <c r="IY20" s="11"/>
      <c r="IZ20" s="12"/>
      <c r="JA20" s="12"/>
      <c r="JB20" s="12"/>
      <c r="JC20" s="12"/>
      <c r="JD20" s="12"/>
      <c r="JE20" s="152"/>
      <c r="JF20" s="152"/>
      <c r="JG20" s="61"/>
      <c r="JH20" s="13"/>
      <c r="JI20" s="13"/>
      <c r="JJ20" s="13"/>
      <c r="JK20" s="60"/>
      <c r="JL20" s="99"/>
      <c r="JN20" s="163"/>
      <c r="JO20" s="161"/>
      <c r="JP20" s="63"/>
      <c r="JQ20" s="64"/>
      <c r="JR20" s="62"/>
      <c r="JS20" s="50"/>
      <c r="JT20" s="29"/>
      <c r="JU20" s="10"/>
      <c r="JV20" s="158"/>
      <c r="JW20" s="11"/>
      <c r="JX20" s="11"/>
      <c r="JY20" s="11"/>
      <c r="JZ20" s="12"/>
      <c r="KA20" s="12"/>
      <c r="KB20" s="12"/>
      <c r="KC20" s="12"/>
      <c r="KD20" s="12"/>
      <c r="KE20" s="152"/>
      <c r="KF20" s="152"/>
      <c r="KG20" s="61"/>
      <c r="KH20" s="13"/>
      <c r="KI20" s="13"/>
      <c r="KJ20" s="13"/>
      <c r="KK20" s="60"/>
      <c r="KL20" s="99"/>
      <c r="KN20" s="163"/>
      <c r="KO20" s="161"/>
      <c r="KP20" s="63"/>
      <c r="KQ20" s="64"/>
      <c r="KR20" s="62"/>
      <c r="KS20" s="50"/>
      <c r="KT20" s="29"/>
      <c r="KU20" s="10"/>
      <c r="KV20" s="158"/>
      <c r="KW20" s="11"/>
      <c r="KX20" s="11"/>
      <c r="KY20" s="11"/>
      <c r="KZ20" s="12"/>
      <c r="LA20" s="12"/>
      <c r="LB20" s="12"/>
      <c r="LC20" s="12"/>
      <c r="LD20" s="12"/>
      <c r="LE20" s="152"/>
      <c r="LF20" s="152"/>
      <c r="LG20" s="61"/>
      <c r="LH20" s="13"/>
      <c r="LI20" s="13"/>
      <c r="LJ20" s="13"/>
      <c r="LK20" s="60"/>
      <c r="LL20" s="99"/>
      <c r="LO20" s="238"/>
    </row>
    <row r="21" spans="1:327" x14ac:dyDescent="0.35">
      <c r="A21" s="52"/>
      <c r="B21" s="69"/>
      <c r="C21" s="73"/>
      <c r="D21" s="55"/>
      <c r="E21" s="281"/>
      <c r="F21" s="56"/>
      <c r="G21" s="129"/>
      <c r="H21" s="59"/>
      <c r="I21" s="54"/>
      <c r="J21" s="59"/>
      <c r="K21" s="273"/>
      <c r="L21" s="67"/>
      <c r="M21" s="164"/>
      <c r="N21" s="163"/>
      <c r="O21" s="161"/>
      <c r="P21" s="63"/>
      <c r="Q21" s="163"/>
      <c r="R21" s="62"/>
      <c r="S21" s="50"/>
      <c r="T21" s="29"/>
      <c r="U21" s="10"/>
      <c r="V21" s="158"/>
      <c r="W21" s="11"/>
      <c r="X21" s="11"/>
      <c r="Y21" s="11"/>
      <c r="Z21" s="12"/>
      <c r="AA21" s="12"/>
      <c r="AB21" s="12"/>
      <c r="AC21" s="12"/>
      <c r="AD21" s="12"/>
      <c r="AE21" s="152"/>
      <c r="AF21" s="152"/>
      <c r="AG21" s="61"/>
      <c r="AH21" s="13"/>
      <c r="AI21" s="13"/>
      <c r="AJ21" s="13"/>
      <c r="AK21" s="60"/>
      <c r="AL21" s="99"/>
      <c r="AN21" s="163"/>
      <c r="AO21" s="161"/>
      <c r="AP21" s="63"/>
      <c r="AQ21" s="64"/>
      <c r="AR21" s="62"/>
      <c r="AS21" s="50"/>
      <c r="AT21" s="29"/>
      <c r="AU21" s="10"/>
      <c r="AV21" s="158"/>
      <c r="AW21" s="11"/>
      <c r="AX21" s="11"/>
      <c r="AY21" s="11"/>
      <c r="AZ21" s="12"/>
      <c r="BA21" s="12"/>
      <c r="BB21" s="12"/>
      <c r="BC21" s="12"/>
      <c r="BD21" s="12"/>
      <c r="BE21" s="152"/>
      <c r="BF21" s="152"/>
      <c r="BG21" s="61"/>
      <c r="BH21" s="13"/>
      <c r="BI21" s="13"/>
      <c r="BJ21" s="13"/>
      <c r="BK21" s="60"/>
      <c r="BL21" s="99"/>
      <c r="BM21" s="14"/>
      <c r="BN21" s="163"/>
      <c r="BO21" s="161"/>
      <c r="BP21" s="63"/>
      <c r="BQ21" s="64"/>
      <c r="BR21" s="62"/>
      <c r="BS21" s="50"/>
      <c r="BT21" s="29"/>
      <c r="BU21" s="10"/>
      <c r="BV21" s="158"/>
      <c r="BW21" s="11"/>
      <c r="BX21" s="11"/>
      <c r="BY21" s="11"/>
      <c r="BZ21" s="12"/>
      <c r="CA21" s="12"/>
      <c r="CB21" s="12"/>
      <c r="CC21" s="12"/>
      <c r="CD21" s="12"/>
      <c r="CE21" s="152"/>
      <c r="CF21" s="152"/>
      <c r="CG21" s="61"/>
      <c r="CH21" s="13"/>
      <c r="CI21" s="13"/>
      <c r="CJ21" s="13"/>
      <c r="CK21" s="60"/>
      <c r="CL21" s="99"/>
      <c r="CN21" s="163"/>
      <c r="CO21" s="161"/>
      <c r="CP21" s="63"/>
      <c r="CQ21" s="64"/>
      <c r="CR21" s="62"/>
      <c r="CS21" s="50"/>
      <c r="CT21" s="29"/>
      <c r="CU21" s="10"/>
      <c r="CV21" s="158"/>
      <c r="CW21" s="11"/>
      <c r="CX21" s="11"/>
      <c r="CY21" s="11"/>
      <c r="CZ21" s="12"/>
      <c r="DA21" s="12"/>
      <c r="DB21" s="12"/>
      <c r="DC21" s="12"/>
      <c r="DD21" s="12"/>
      <c r="DE21" s="152"/>
      <c r="DF21" s="152"/>
      <c r="DG21" s="61"/>
      <c r="DH21" s="13"/>
      <c r="DI21" s="13"/>
      <c r="DJ21" s="13"/>
      <c r="DK21" s="60"/>
      <c r="DL21" s="99"/>
      <c r="DN21" s="163"/>
      <c r="DO21" s="161"/>
      <c r="DP21" s="63"/>
      <c r="DQ21" s="64"/>
      <c r="DR21" s="62"/>
      <c r="DS21" s="50"/>
      <c r="DT21" s="29"/>
      <c r="DU21" s="10"/>
      <c r="DV21" s="158"/>
      <c r="DW21" s="11"/>
      <c r="DX21" s="11"/>
      <c r="DY21" s="11"/>
      <c r="DZ21" s="12"/>
      <c r="EA21" s="12"/>
      <c r="EB21" s="12"/>
      <c r="EC21" s="12"/>
      <c r="ED21" s="12"/>
      <c r="EE21" s="152"/>
      <c r="EF21" s="152"/>
      <c r="EG21" s="61"/>
      <c r="EH21" s="13"/>
      <c r="EI21" s="13"/>
      <c r="EJ21" s="13"/>
      <c r="EK21" s="60"/>
      <c r="EL21" s="99"/>
      <c r="EN21" s="163"/>
      <c r="EO21" s="161"/>
      <c r="EP21" s="63"/>
      <c r="EQ21" s="64"/>
      <c r="ER21" s="62"/>
      <c r="ES21" s="50"/>
      <c r="ET21" s="29"/>
      <c r="EU21" s="10"/>
      <c r="EV21" s="158"/>
      <c r="EW21" s="11"/>
      <c r="EX21" s="11"/>
      <c r="EY21" s="11"/>
      <c r="EZ21" s="12"/>
      <c r="FA21" s="12"/>
      <c r="FB21" s="12"/>
      <c r="FC21" s="12"/>
      <c r="FD21" s="12"/>
      <c r="FE21" s="152"/>
      <c r="FF21" s="152"/>
      <c r="FG21" s="61"/>
      <c r="FH21" s="13"/>
      <c r="FI21" s="13"/>
      <c r="FJ21" s="13"/>
      <c r="FK21" s="60"/>
      <c r="FL21" s="99"/>
      <c r="FN21" s="163"/>
      <c r="FO21" s="161"/>
      <c r="FP21" s="63"/>
      <c r="FQ21" s="64"/>
      <c r="FR21" s="62"/>
      <c r="FS21" s="50"/>
      <c r="FT21" s="29"/>
      <c r="FU21" s="10"/>
      <c r="FV21" s="158"/>
      <c r="FW21" s="11"/>
      <c r="FX21" s="11"/>
      <c r="FY21" s="11"/>
      <c r="FZ21" s="12"/>
      <c r="GA21" s="12"/>
      <c r="GB21" s="12"/>
      <c r="GC21" s="12"/>
      <c r="GD21" s="12"/>
      <c r="GE21" s="152"/>
      <c r="GF21" s="152"/>
      <c r="GG21" s="61"/>
      <c r="GH21" s="13"/>
      <c r="GI21" s="13"/>
      <c r="GJ21" s="13"/>
      <c r="GK21" s="60"/>
      <c r="GL21" s="99"/>
      <c r="GN21" s="163"/>
      <c r="GO21" s="161"/>
      <c r="GP21" s="63"/>
      <c r="GQ21" s="64"/>
      <c r="GR21" s="62"/>
      <c r="GS21" s="50"/>
      <c r="GT21" s="29"/>
      <c r="GU21" s="10"/>
      <c r="GV21" s="158"/>
      <c r="GW21" s="11"/>
      <c r="GX21" s="11"/>
      <c r="GY21" s="11"/>
      <c r="GZ21" s="12"/>
      <c r="HA21" s="12"/>
      <c r="HB21" s="12"/>
      <c r="HC21" s="12"/>
      <c r="HD21" s="12"/>
      <c r="HE21" s="152"/>
      <c r="HF21" s="152"/>
      <c r="HG21" s="61"/>
      <c r="HH21" s="13"/>
      <c r="HI21" s="13"/>
      <c r="HJ21" s="13"/>
      <c r="HK21" s="60"/>
      <c r="HL21" s="99"/>
      <c r="HN21" s="163"/>
      <c r="HO21" s="161"/>
      <c r="HP21" s="63"/>
      <c r="HQ21" s="64"/>
      <c r="HR21" s="62"/>
      <c r="HS21" s="50"/>
      <c r="HT21" s="29"/>
      <c r="HU21" s="10"/>
      <c r="HV21" s="158"/>
      <c r="HW21" s="11"/>
      <c r="HX21" s="11"/>
      <c r="HY21" s="11"/>
      <c r="HZ21" s="12"/>
      <c r="IA21" s="12"/>
      <c r="IB21" s="12"/>
      <c r="IC21" s="12"/>
      <c r="ID21" s="12"/>
      <c r="IE21" s="152"/>
      <c r="IF21" s="152"/>
      <c r="IG21" s="61"/>
      <c r="IH21" s="13"/>
      <c r="II21" s="13"/>
      <c r="IJ21" s="13"/>
      <c r="IK21" s="60"/>
      <c r="IL21" s="99"/>
      <c r="IN21" s="163"/>
      <c r="IO21" s="161"/>
      <c r="IP21" s="63"/>
      <c r="IQ21" s="64"/>
      <c r="IR21" s="62"/>
      <c r="IS21" s="50"/>
      <c r="IT21" s="29"/>
      <c r="IU21" s="10"/>
      <c r="IV21" s="158"/>
      <c r="IW21" s="11"/>
      <c r="IX21" s="11"/>
      <c r="IY21" s="11"/>
      <c r="IZ21" s="12"/>
      <c r="JA21" s="12"/>
      <c r="JB21" s="12"/>
      <c r="JC21" s="12"/>
      <c r="JD21" s="12"/>
      <c r="JE21" s="152"/>
      <c r="JF21" s="152"/>
      <c r="JG21" s="61"/>
      <c r="JH21" s="13"/>
      <c r="JI21" s="13"/>
      <c r="JJ21" s="13"/>
      <c r="JK21" s="60"/>
      <c r="JL21" s="99"/>
      <c r="JN21" s="163"/>
      <c r="JO21" s="161"/>
      <c r="JP21" s="63"/>
      <c r="JQ21" s="64"/>
      <c r="JR21" s="62"/>
      <c r="JS21" s="50"/>
      <c r="JT21" s="29"/>
      <c r="JU21" s="10"/>
      <c r="JV21" s="158"/>
      <c r="JW21" s="11"/>
      <c r="JX21" s="11"/>
      <c r="JY21" s="11"/>
      <c r="JZ21" s="12"/>
      <c r="KA21" s="12"/>
      <c r="KB21" s="12"/>
      <c r="KC21" s="12"/>
      <c r="KD21" s="12"/>
      <c r="KE21" s="152"/>
      <c r="KF21" s="152"/>
      <c r="KG21" s="61"/>
      <c r="KH21" s="13"/>
      <c r="KI21" s="13"/>
      <c r="KJ21" s="13"/>
      <c r="KK21" s="60"/>
      <c r="KL21" s="99"/>
      <c r="KN21" s="163"/>
      <c r="KO21" s="161"/>
      <c r="KP21" s="63"/>
      <c r="KQ21" s="64"/>
      <c r="KR21" s="62"/>
      <c r="KS21" s="50"/>
      <c r="KT21" s="29"/>
      <c r="KU21" s="10"/>
      <c r="KV21" s="158"/>
      <c r="KW21" s="11"/>
      <c r="KX21" s="11"/>
      <c r="KY21" s="11"/>
      <c r="KZ21" s="12"/>
      <c r="LA21" s="12"/>
      <c r="LB21" s="12"/>
      <c r="LC21" s="12"/>
      <c r="LD21" s="12"/>
      <c r="LE21" s="152"/>
      <c r="LF21" s="152"/>
      <c r="LG21" s="61"/>
      <c r="LH21" s="13"/>
      <c r="LI21" s="13"/>
      <c r="LJ21" s="13"/>
      <c r="LK21" s="60"/>
      <c r="LL21" s="99"/>
      <c r="LO21" s="238"/>
    </row>
    <row r="22" spans="1:327" ht="15" thickBot="1" x14ac:dyDescent="0.4">
      <c r="A22" s="52"/>
      <c r="B22" s="69"/>
      <c r="C22" s="73"/>
      <c r="D22" s="55"/>
      <c r="E22" s="281"/>
      <c r="F22" s="56"/>
      <c r="G22" s="129"/>
      <c r="H22" s="59"/>
      <c r="I22" s="54"/>
      <c r="J22" s="59"/>
      <c r="K22" s="273"/>
      <c r="L22" s="67"/>
      <c r="M22" s="164"/>
      <c r="N22" s="163"/>
      <c r="O22" s="161"/>
      <c r="P22" s="63"/>
      <c r="Q22" s="163"/>
      <c r="R22" s="62"/>
      <c r="S22" s="50"/>
      <c r="T22" s="29"/>
      <c r="U22" s="10"/>
      <c r="V22" s="158"/>
      <c r="W22" s="11"/>
      <c r="X22" s="11"/>
      <c r="Y22" s="11"/>
      <c r="Z22" s="12"/>
      <c r="AA22" s="12"/>
      <c r="AB22" s="12"/>
      <c r="AC22" s="12"/>
      <c r="AD22" s="12"/>
      <c r="AE22" s="152"/>
      <c r="AF22" s="152"/>
      <c r="AG22" s="61"/>
      <c r="AH22" s="13"/>
      <c r="AI22" s="13"/>
      <c r="AJ22" s="13"/>
      <c r="AK22" s="60"/>
      <c r="AL22" s="99"/>
      <c r="AN22" s="163"/>
      <c r="AO22" s="161"/>
      <c r="AP22" s="63"/>
      <c r="AQ22" s="64"/>
      <c r="AR22" s="62"/>
      <c r="AS22" s="50"/>
      <c r="AT22" s="29"/>
      <c r="AU22" s="10"/>
      <c r="AV22" s="158"/>
      <c r="AW22" s="11"/>
      <c r="AX22" s="11"/>
      <c r="AY22" s="11"/>
      <c r="AZ22" s="12"/>
      <c r="BA22" s="12"/>
      <c r="BB22" s="12"/>
      <c r="BC22" s="12"/>
      <c r="BD22" s="12"/>
      <c r="BE22" s="152"/>
      <c r="BF22" s="152"/>
      <c r="BG22" s="61"/>
      <c r="BH22" s="13"/>
      <c r="BI22" s="13"/>
      <c r="BJ22" s="13"/>
      <c r="BK22" s="60"/>
      <c r="BL22" s="99"/>
      <c r="BM22" s="14"/>
      <c r="BN22" s="163"/>
      <c r="BO22" s="161"/>
      <c r="BP22" s="63"/>
      <c r="BQ22" s="64"/>
      <c r="BR22" s="62"/>
      <c r="BS22" s="50"/>
      <c r="BT22" s="29"/>
      <c r="BU22" s="10"/>
      <c r="BV22" s="158"/>
      <c r="BW22" s="11"/>
      <c r="BX22" s="11"/>
      <c r="BY22" s="11"/>
      <c r="BZ22" s="12"/>
      <c r="CA22" s="12"/>
      <c r="CB22" s="12"/>
      <c r="CC22" s="12"/>
      <c r="CD22" s="12"/>
      <c r="CE22" s="152"/>
      <c r="CF22" s="152"/>
      <c r="CG22" s="61"/>
      <c r="CH22" s="13"/>
      <c r="CI22" s="13"/>
      <c r="CJ22" s="13"/>
      <c r="CK22" s="60"/>
      <c r="CL22" s="99"/>
      <c r="CN22" s="163"/>
      <c r="CO22" s="161"/>
      <c r="CP22" s="63"/>
      <c r="CQ22" s="64"/>
      <c r="CR22" s="62"/>
      <c r="CS22" s="50"/>
      <c r="CT22" s="29"/>
      <c r="CU22" s="10"/>
      <c r="CV22" s="158"/>
      <c r="CW22" s="11"/>
      <c r="CX22" s="11"/>
      <c r="CY22" s="11"/>
      <c r="CZ22" s="12"/>
      <c r="DA22" s="12"/>
      <c r="DB22" s="12"/>
      <c r="DC22" s="12"/>
      <c r="DD22" s="12"/>
      <c r="DE22" s="152"/>
      <c r="DF22" s="152"/>
      <c r="DG22" s="61"/>
      <c r="DH22" s="13"/>
      <c r="DI22" s="13"/>
      <c r="DJ22" s="13"/>
      <c r="DK22" s="60"/>
      <c r="DL22" s="99"/>
      <c r="DN22" s="163"/>
      <c r="DO22" s="161"/>
      <c r="DP22" s="63"/>
      <c r="DQ22" s="64"/>
      <c r="DR22" s="62"/>
      <c r="DS22" s="50"/>
      <c r="DT22" s="29"/>
      <c r="DU22" s="10"/>
      <c r="DV22" s="158"/>
      <c r="DW22" s="11"/>
      <c r="DX22" s="11"/>
      <c r="DY22" s="11"/>
      <c r="DZ22" s="12"/>
      <c r="EA22" s="12"/>
      <c r="EB22" s="12"/>
      <c r="EC22" s="12"/>
      <c r="ED22" s="12"/>
      <c r="EE22" s="152"/>
      <c r="EF22" s="152"/>
      <c r="EG22" s="61"/>
      <c r="EH22" s="13"/>
      <c r="EI22" s="13"/>
      <c r="EJ22" s="13"/>
      <c r="EK22" s="60"/>
      <c r="EL22" s="99"/>
      <c r="EN22" s="163"/>
      <c r="EO22" s="161"/>
      <c r="EP22" s="63"/>
      <c r="EQ22" s="64"/>
      <c r="ER22" s="62"/>
      <c r="ES22" s="50"/>
      <c r="ET22" s="29"/>
      <c r="EU22" s="10"/>
      <c r="EV22" s="158"/>
      <c r="EW22" s="11"/>
      <c r="EX22" s="11"/>
      <c r="EY22" s="11"/>
      <c r="EZ22" s="12"/>
      <c r="FA22" s="12"/>
      <c r="FB22" s="12"/>
      <c r="FC22" s="12"/>
      <c r="FD22" s="12"/>
      <c r="FE22" s="152"/>
      <c r="FF22" s="152"/>
      <c r="FG22" s="61"/>
      <c r="FH22" s="13"/>
      <c r="FI22" s="13"/>
      <c r="FJ22" s="13"/>
      <c r="FK22" s="60"/>
      <c r="FL22" s="99"/>
      <c r="FN22" s="163"/>
      <c r="FO22" s="161"/>
      <c r="FP22" s="63"/>
      <c r="FQ22" s="64"/>
      <c r="FR22" s="62"/>
      <c r="FS22" s="50"/>
      <c r="FT22" s="29"/>
      <c r="FU22" s="10"/>
      <c r="FV22" s="158"/>
      <c r="FW22" s="11"/>
      <c r="FX22" s="11"/>
      <c r="FY22" s="11"/>
      <c r="FZ22" s="12"/>
      <c r="GA22" s="12"/>
      <c r="GB22" s="12"/>
      <c r="GC22" s="12"/>
      <c r="GD22" s="12"/>
      <c r="GE22" s="152"/>
      <c r="GF22" s="152"/>
      <c r="GG22" s="61"/>
      <c r="GH22" s="13"/>
      <c r="GI22" s="13"/>
      <c r="GJ22" s="13"/>
      <c r="GK22" s="60"/>
      <c r="GL22" s="99"/>
      <c r="GN22" s="163"/>
      <c r="GO22" s="161"/>
      <c r="GP22" s="63"/>
      <c r="GQ22" s="64"/>
      <c r="GR22" s="62"/>
      <c r="GS22" s="50"/>
      <c r="GT22" s="29"/>
      <c r="GU22" s="10"/>
      <c r="GV22" s="158"/>
      <c r="GW22" s="11"/>
      <c r="GX22" s="11"/>
      <c r="GY22" s="11"/>
      <c r="GZ22" s="12"/>
      <c r="HA22" s="12"/>
      <c r="HB22" s="12"/>
      <c r="HC22" s="12"/>
      <c r="HD22" s="12"/>
      <c r="HE22" s="152"/>
      <c r="HF22" s="152"/>
      <c r="HG22" s="61"/>
      <c r="HH22" s="13"/>
      <c r="HI22" s="13"/>
      <c r="HJ22" s="13"/>
      <c r="HK22" s="60"/>
      <c r="HL22" s="99"/>
      <c r="HN22" s="163"/>
      <c r="HO22" s="161"/>
      <c r="HP22" s="63"/>
      <c r="HQ22" s="64"/>
      <c r="HR22" s="62"/>
      <c r="HS22" s="50"/>
      <c r="HT22" s="29"/>
      <c r="HU22" s="10"/>
      <c r="HV22" s="158"/>
      <c r="HW22" s="11"/>
      <c r="HX22" s="11"/>
      <c r="HY22" s="11"/>
      <c r="HZ22" s="12"/>
      <c r="IA22" s="12"/>
      <c r="IB22" s="12"/>
      <c r="IC22" s="12"/>
      <c r="ID22" s="12"/>
      <c r="IE22" s="152"/>
      <c r="IF22" s="152"/>
      <c r="IG22" s="61"/>
      <c r="IH22" s="13"/>
      <c r="II22" s="13"/>
      <c r="IJ22" s="13"/>
      <c r="IK22" s="60"/>
      <c r="IL22" s="99"/>
      <c r="IN22" s="165"/>
      <c r="IO22" s="161"/>
      <c r="IP22" s="63"/>
      <c r="IQ22" s="64"/>
      <c r="IR22" s="62"/>
      <c r="IS22" s="50"/>
      <c r="IT22" s="29"/>
      <c r="IU22" s="10"/>
      <c r="IV22" s="158"/>
      <c r="IW22" s="11"/>
      <c r="IX22" s="11"/>
      <c r="IY22" s="11"/>
      <c r="IZ22" s="12"/>
      <c r="JA22" s="12"/>
      <c r="JB22" s="12"/>
      <c r="JC22" s="12"/>
      <c r="JD22" s="12"/>
      <c r="JE22" s="152"/>
      <c r="JF22" s="152"/>
      <c r="JG22" s="61"/>
      <c r="JH22" s="13"/>
      <c r="JI22" s="13"/>
      <c r="JJ22" s="13"/>
      <c r="JK22" s="60"/>
      <c r="JL22" s="99"/>
      <c r="JN22" s="165"/>
      <c r="JO22" s="161"/>
      <c r="JP22" s="63"/>
      <c r="JQ22" s="64"/>
      <c r="JR22" s="62"/>
      <c r="JS22" s="50"/>
      <c r="JT22" s="29"/>
      <c r="JU22" s="10"/>
      <c r="JV22" s="158"/>
      <c r="JW22" s="11"/>
      <c r="JX22" s="11"/>
      <c r="JY22" s="11"/>
      <c r="JZ22" s="12"/>
      <c r="KA22" s="12"/>
      <c r="KB22" s="12"/>
      <c r="KC22" s="12"/>
      <c r="KD22" s="12"/>
      <c r="KE22" s="152"/>
      <c r="KF22" s="152"/>
      <c r="KG22" s="61"/>
      <c r="KH22" s="13"/>
      <c r="KI22" s="13"/>
      <c r="KJ22" s="13"/>
      <c r="KK22" s="60"/>
      <c r="KL22" s="99"/>
      <c r="KN22" s="165"/>
      <c r="KO22" s="161"/>
      <c r="KP22" s="63"/>
      <c r="KQ22" s="64"/>
      <c r="KR22" s="62"/>
      <c r="KS22" s="50"/>
      <c r="KT22" s="29"/>
      <c r="KU22" s="10"/>
      <c r="KV22" s="158"/>
      <c r="KW22" s="11"/>
      <c r="KX22" s="11"/>
      <c r="KY22" s="11"/>
      <c r="KZ22" s="12"/>
      <c r="LA22" s="12"/>
      <c r="LB22" s="12"/>
      <c r="LC22" s="12"/>
      <c r="LD22" s="12"/>
      <c r="LE22" s="152"/>
      <c r="LF22" s="152"/>
      <c r="LG22" s="61"/>
      <c r="LH22" s="13"/>
      <c r="LI22" s="13"/>
      <c r="LJ22" s="13"/>
      <c r="LK22" s="60"/>
      <c r="LL22" s="99"/>
      <c r="LO22" s="238"/>
    </row>
    <row r="23" spans="1:327" ht="15.5" thickTop="1" thickBot="1" x14ac:dyDescent="0.4">
      <c r="A23" s="52"/>
      <c r="B23" s="69"/>
      <c r="C23" s="73"/>
      <c r="D23" s="55"/>
      <c r="E23" s="281"/>
      <c r="F23" s="56"/>
      <c r="G23" s="129"/>
      <c r="H23" s="59"/>
      <c r="I23" s="54"/>
      <c r="J23" s="59"/>
      <c r="K23" s="273"/>
      <c r="L23" s="67"/>
      <c r="M23" s="164"/>
      <c r="N23" s="163"/>
      <c r="O23" s="166"/>
      <c r="P23" s="167"/>
      <c r="Q23" s="163"/>
      <c r="R23" s="169"/>
      <c r="S23" s="170"/>
      <c r="T23" s="171"/>
      <c r="U23" s="172"/>
      <c r="V23" s="173"/>
      <c r="W23" s="174"/>
      <c r="X23" s="174"/>
      <c r="Y23" s="174"/>
      <c r="Z23" s="175"/>
      <c r="AA23" s="175"/>
      <c r="AB23" s="175"/>
      <c r="AC23" s="175"/>
      <c r="AD23" s="12"/>
      <c r="AE23" s="176"/>
      <c r="AF23" s="176"/>
      <c r="AG23" s="61"/>
      <c r="AH23" s="177"/>
      <c r="AI23" s="177"/>
      <c r="AJ23" s="177"/>
      <c r="AK23" s="178"/>
      <c r="AL23" s="179"/>
      <c r="AN23" s="165"/>
      <c r="AO23" s="166"/>
      <c r="AP23" s="167"/>
      <c r="AQ23" s="168"/>
      <c r="AR23" s="169"/>
      <c r="AS23" s="170"/>
      <c r="AT23" s="171"/>
      <c r="AU23" s="172"/>
      <c r="AV23" s="173"/>
      <c r="AW23" s="11"/>
      <c r="AX23" s="11"/>
      <c r="AY23" s="11"/>
      <c r="AZ23" s="12"/>
      <c r="BA23" s="12"/>
      <c r="BB23" s="12"/>
      <c r="BC23" s="12"/>
      <c r="BD23" s="12"/>
      <c r="BE23" s="152"/>
      <c r="BF23" s="152"/>
      <c r="BG23" s="61"/>
      <c r="BH23" s="13"/>
      <c r="BI23" s="13"/>
      <c r="BJ23" s="13"/>
      <c r="BK23" s="60"/>
      <c r="BL23" s="99"/>
      <c r="BM23" s="14"/>
      <c r="BN23" s="163"/>
      <c r="BO23" s="166"/>
      <c r="BP23" s="167"/>
      <c r="BQ23" s="64"/>
      <c r="BR23" s="169"/>
      <c r="BS23" s="170"/>
      <c r="BT23" s="171"/>
      <c r="BU23" s="172"/>
      <c r="BV23" s="173"/>
      <c r="BW23" s="11"/>
      <c r="BX23" s="11"/>
      <c r="BY23" s="11"/>
      <c r="BZ23" s="12"/>
      <c r="CA23" s="12"/>
      <c r="CB23" s="12"/>
      <c r="CC23" s="12"/>
      <c r="CD23" s="12"/>
      <c r="CE23" s="152"/>
      <c r="CF23" s="152"/>
      <c r="CG23" s="61"/>
      <c r="CH23" s="13"/>
      <c r="CI23" s="13"/>
      <c r="CJ23" s="13"/>
      <c r="CK23" s="60"/>
      <c r="CL23" s="99"/>
      <c r="CN23" s="165"/>
      <c r="CO23" s="166"/>
      <c r="CP23" s="167"/>
      <c r="CQ23" s="168"/>
      <c r="CR23" s="169"/>
      <c r="CS23" s="170"/>
      <c r="CT23" s="171"/>
      <c r="CU23" s="172"/>
      <c r="CV23" s="173"/>
      <c r="CW23" s="11"/>
      <c r="CX23" s="11"/>
      <c r="CY23" s="11"/>
      <c r="CZ23" s="12"/>
      <c r="DA23" s="12"/>
      <c r="DB23" s="12"/>
      <c r="DC23" s="12"/>
      <c r="DD23" s="12"/>
      <c r="DE23" s="152"/>
      <c r="DF23" s="152"/>
      <c r="DG23" s="61"/>
      <c r="DH23" s="13"/>
      <c r="DI23" s="13"/>
      <c r="DJ23" s="13"/>
      <c r="DK23" s="60"/>
      <c r="DL23" s="99"/>
      <c r="DN23" s="165"/>
      <c r="DO23" s="166"/>
      <c r="DP23" s="167"/>
      <c r="DQ23" s="168"/>
      <c r="DR23" s="169"/>
      <c r="DS23" s="170"/>
      <c r="DT23" s="171"/>
      <c r="DU23" s="172"/>
      <c r="DV23" s="173"/>
      <c r="DW23" s="11"/>
      <c r="DX23" s="11"/>
      <c r="DY23" s="11"/>
      <c r="DZ23" s="12"/>
      <c r="EA23" s="12"/>
      <c r="EB23" s="12"/>
      <c r="EC23" s="12"/>
      <c r="ED23" s="12"/>
      <c r="EE23" s="152"/>
      <c r="EF23" s="152"/>
      <c r="EG23" s="61"/>
      <c r="EH23" s="13"/>
      <c r="EI23" s="13"/>
      <c r="EJ23" s="13"/>
      <c r="EK23" s="60"/>
      <c r="EL23" s="99"/>
      <c r="EN23" s="165"/>
      <c r="EO23" s="166"/>
      <c r="EP23" s="167"/>
      <c r="EQ23" s="168"/>
      <c r="ER23" s="169"/>
      <c r="ES23" s="170"/>
      <c r="ET23" s="171"/>
      <c r="EU23" s="172"/>
      <c r="EV23" s="173"/>
      <c r="EW23" s="11"/>
      <c r="EX23" s="11"/>
      <c r="EY23" s="11"/>
      <c r="EZ23" s="12"/>
      <c r="FA23" s="12"/>
      <c r="FB23" s="12"/>
      <c r="FC23" s="12"/>
      <c r="FD23" s="12"/>
      <c r="FE23" s="152"/>
      <c r="FF23" s="152"/>
      <c r="FG23" s="61"/>
      <c r="FH23" s="13"/>
      <c r="FI23" s="13"/>
      <c r="FJ23" s="13"/>
      <c r="FK23" s="60"/>
      <c r="FL23" s="99"/>
      <c r="FN23" s="165"/>
      <c r="FO23" s="166"/>
      <c r="FP23" s="167"/>
      <c r="FQ23" s="168"/>
      <c r="FR23" s="169"/>
      <c r="FS23" s="170"/>
      <c r="FT23" s="171"/>
      <c r="FU23" s="172"/>
      <c r="FV23" s="173"/>
      <c r="FW23" s="11"/>
      <c r="FX23" s="11"/>
      <c r="FY23" s="11"/>
      <c r="FZ23" s="12"/>
      <c r="GA23" s="12"/>
      <c r="GB23" s="12"/>
      <c r="GC23" s="12"/>
      <c r="GD23" s="12"/>
      <c r="GE23" s="152"/>
      <c r="GF23" s="152"/>
      <c r="GG23" s="61"/>
      <c r="GH23" s="13"/>
      <c r="GI23" s="13"/>
      <c r="GJ23" s="13"/>
      <c r="GK23" s="60"/>
      <c r="GL23" s="99"/>
      <c r="GN23" s="165"/>
      <c r="GO23" s="166"/>
      <c r="GP23" s="167"/>
      <c r="GQ23" s="168"/>
      <c r="GR23" s="169"/>
      <c r="GS23" s="170"/>
      <c r="GT23" s="171"/>
      <c r="GU23" s="172"/>
      <c r="GV23" s="173"/>
      <c r="GW23" s="11"/>
      <c r="GX23" s="11"/>
      <c r="GY23" s="11"/>
      <c r="GZ23" s="12"/>
      <c r="HA23" s="12"/>
      <c r="HB23" s="12"/>
      <c r="HC23" s="12"/>
      <c r="HD23" s="12"/>
      <c r="HE23" s="152"/>
      <c r="HF23" s="152"/>
      <c r="HG23" s="61"/>
      <c r="HH23" s="13"/>
      <c r="HI23" s="13"/>
      <c r="HJ23" s="13"/>
      <c r="HK23" s="60"/>
      <c r="HL23" s="99"/>
      <c r="HN23" s="165"/>
      <c r="HO23" s="166"/>
      <c r="HP23" s="167"/>
      <c r="HQ23" s="168"/>
      <c r="HR23" s="169"/>
      <c r="HS23" s="170"/>
      <c r="HT23" s="171"/>
      <c r="HU23" s="172"/>
      <c r="HV23" s="173"/>
      <c r="HW23" s="11"/>
      <c r="HX23" s="11"/>
      <c r="HY23" s="11"/>
      <c r="HZ23" s="12"/>
      <c r="IA23" s="12"/>
      <c r="IB23" s="12"/>
      <c r="IC23" s="12"/>
      <c r="ID23" s="12"/>
      <c r="IE23" s="152"/>
      <c r="IF23" s="152"/>
      <c r="IG23" s="61"/>
      <c r="IH23" s="13"/>
      <c r="II23" s="13"/>
      <c r="IJ23" s="13"/>
      <c r="IK23" s="60"/>
      <c r="IL23" s="99"/>
      <c r="IN23" s="165"/>
      <c r="IO23" s="166"/>
      <c r="IP23" s="167"/>
      <c r="IQ23" s="168"/>
      <c r="IR23" s="169"/>
      <c r="IS23" s="170"/>
      <c r="IT23" s="171"/>
      <c r="IU23" s="172"/>
      <c r="IV23" s="173"/>
      <c r="IW23" s="11"/>
      <c r="IX23" s="11"/>
      <c r="IY23" s="11"/>
      <c r="IZ23" s="12"/>
      <c r="JA23" s="12"/>
      <c r="JB23" s="12"/>
      <c r="JC23" s="12"/>
      <c r="JD23" s="12"/>
      <c r="JE23" s="152"/>
      <c r="JF23" s="152"/>
      <c r="JG23" s="61"/>
      <c r="JH23" s="13"/>
      <c r="JI23" s="13"/>
      <c r="JJ23" s="13"/>
      <c r="JK23" s="60"/>
      <c r="JL23" s="99"/>
      <c r="JN23" s="165"/>
      <c r="JO23" s="166"/>
      <c r="JP23" s="167"/>
      <c r="JQ23" s="168"/>
      <c r="JR23" s="169"/>
      <c r="JS23" s="170"/>
      <c r="JT23" s="171"/>
      <c r="JU23" s="172"/>
      <c r="JV23" s="173"/>
      <c r="JW23" s="11"/>
      <c r="JX23" s="11"/>
      <c r="JY23" s="11"/>
      <c r="JZ23" s="12"/>
      <c r="KA23" s="12"/>
      <c r="KB23" s="12"/>
      <c r="KC23" s="12"/>
      <c r="KD23" s="12"/>
      <c r="KE23" s="152"/>
      <c r="KF23" s="152"/>
      <c r="KG23" s="61"/>
      <c r="KH23" s="13"/>
      <c r="KI23" s="13"/>
      <c r="KJ23" s="13"/>
      <c r="KK23" s="60"/>
      <c r="KL23" s="99"/>
      <c r="KN23" s="165"/>
      <c r="KO23" s="166"/>
      <c r="KP23" s="167"/>
      <c r="KQ23" s="168"/>
      <c r="KR23" s="169"/>
      <c r="KS23" s="170"/>
      <c r="KT23" s="171"/>
      <c r="KU23" s="172"/>
      <c r="KV23" s="173"/>
      <c r="KW23" s="11"/>
      <c r="KX23" s="11"/>
      <c r="KY23" s="11"/>
      <c r="KZ23" s="12"/>
      <c r="LA23" s="12"/>
      <c r="LB23" s="12"/>
      <c r="LC23" s="12"/>
      <c r="LD23" s="12"/>
      <c r="LE23" s="152"/>
      <c r="LF23" s="152"/>
      <c r="LG23" s="61"/>
      <c r="LH23" s="13"/>
      <c r="LI23" s="13"/>
      <c r="LJ23" s="13"/>
      <c r="LK23" s="60"/>
      <c r="LL23" s="99"/>
      <c r="LO23" s="238"/>
    </row>
    <row r="24" spans="1:327" ht="15" thickTop="1" x14ac:dyDescent="0.35">
      <c r="A24" s="52"/>
      <c r="B24" s="69"/>
      <c r="C24" s="73"/>
      <c r="D24" s="55"/>
      <c r="E24" s="282"/>
      <c r="F24" s="56"/>
      <c r="G24" s="129"/>
      <c r="H24" s="59"/>
      <c r="I24" s="54"/>
      <c r="J24" s="59"/>
      <c r="K24" s="55"/>
      <c r="L24" s="67"/>
      <c r="M24" s="164"/>
      <c r="N24" s="163"/>
      <c r="O24" s="161"/>
      <c r="P24" s="63"/>
      <c r="Q24" s="163"/>
      <c r="R24" s="62"/>
      <c r="S24" s="50"/>
      <c r="T24" s="29"/>
      <c r="U24" s="10"/>
      <c r="V24" s="158"/>
      <c r="W24" s="11"/>
      <c r="X24" s="11"/>
      <c r="Y24" s="11"/>
      <c r="Z24" s="12"/>
      <c r="AA24" s="12"/>
      <c r="AB24" s="12"/>
      <c r="AC24" s="12"/>
      <c r="AD24" s="12"/>
      <c r="AE24" s="152"/>
      <c r="AF24" s="152"/>
      <c r="AG24" s="61"/>
      <c r="AH24" s="13"/>
      <c r="AI24" s="13"/>
      <c r="AJ24" s="13"/>
      <c r="AK24" s="60"/>
      <c r="AL24" s="99"/>
      <c r="AN24" s="163"/>
      <c r="AO24" s="161"/>
      <c r="AP24" s="63"/>
      <c r="AQ24" s="64"/>
      <c r="AR24" s="62"/>
      <c r="AS24" s="50"/>
      <c r="AT24" s="29"/>
      <c r="AU24" s="10"/>
      <c r="AV24" s="158"/>
      <c r="AW24" s="11"/>
      <c r="AX24" s="11"/>
      <c r="AY24" s="11"/>
      <c r="AZ24" s="12"/>
      <c r="BA24" s="12"/>
      <c r="BB24" s="12"/>
      <c r="BC24" s="12"/>
      <c r="BD24" s="12"/>
      <c r="BE24" s="152"/>
      <c r="BF24" s="152"/>
      <c r="BG24" s="61"/>
      <c r="BH24" s="13"/>
      <c r="BI24" s="13"/>
      <c r="BJ24" s="13"/>
      <c r="BK24" s="60"/>
      <c r="BL24" s="99"/>
      <c r="BM24" s="14"/>
      <c r="BN24" s="163"/>
      <c r="BO24" s="161"/>
      <c r="BP24" s="63"/>
      <c r="BQ24" s="64"/>
      <c r="BR24" s="62"/>
      <c r="BS24" s="50"/>
      <c r="BT24" s="29"/>
      <c r="BU24" s="10"/>
      <c r="BV24" s="158"/>
      <c r="BW24" s="11"/>
      <c r="BX24" s="11"/>
      <c r="BY24" s="11"/>
      <c r="BZ24" s="12"/>
      <c r="CA24" s="12"/>
      <c r="CB24" s="12"/>
      <c r="CC24" s="12"/>
      <c r="CD24" s="12"/>
      <c r="CE24" s="152"/>
      <c r="CF24" s="152"/>
      <c r="CG24" s="61"/>
      <c r="CH24" s="13"/>
      <c r="CI24" s="13"/>
      <c r="CJ24" s="13"/>
      <c r="CK24" s="60"/>
      <c r="CL24" s="99"/>
      <c r="CN24" s="163"/>
      <c r="CO24" s="161"/>
      <c r="CP24" s="63"/>
      <c r="CQ24" s="64"/>
      <c r="CR24" s="62"/>
      <c r="CS24" s="50"/>
      <c r="CT24" s="29"/>
      <c r="CU24" s="10"/>
      <c r="CV24" s="158"/>
      <c r="CW24" s="11"/>
      <c r="CX24" s="11"/>
      <c r="CY24" s="11"/>
      <c r="CZ24" s="12"/>
      <c r="DA24" s="12"/>
      <c r="DB24" s="12"/>
      <c r="DC24" s="12"/>
      <c r="DD24" s="12"/>
      <c r="DE24" s="152"/>
      <c r="DF24" s="152"/>
      <c r="DG24" s="61"/>
      <c r="DH24" s="13"/>
      <c r="DI24" s="13"/>
      <c r="DJ24" s="13"/>
      <c r="DK24" s="60"/>
      <c r="DL24" s="99"/>
      <c r="DN24" s="163"/>
      <c r="DO24" s="161"/>
      <c r="DP24" s="63"/>
      <c r="DQ24" s="64"/>
      <c r="DR24" s="62"/>
      <c r="DS24" s="50"/>
      <c r="DT24" s="29"/>
      <c r="DU24" s="10"/>
      <c r="DV24" s="158"/>
      <c r="DW24" s="11"/>
      <c r="DX24" s="11"/>
      <c r="DY24" s="11"/>
      <c r="DZ24" s="12"/>
      <c r="EA24" s="12"/>
      <c r="EB24" s="12"/>
      <c r="EC24" s="12"/>
      <c r="ED24" s="12"/>
      <c r="EE24" s="152"/>
      <c r="EF24" s="152"/>
      <c r="EG24" s="61"/>
      <c r="EH24" s="13"/>
      <c r="EI24" s="13"/>
      <c r="EJ24" s="13"/>
      <c r="EK24" s="60"/>
      <c r="EL24" s="99"/>
      <c r="EN24" s="163"/>
      <c r="EO24" s="161"/>
      <c r="EP24" s="63"/>
      <c r="EQ24" s="64"/>
      <c r="ER24" s="62"/>
      <c r="ES24" s="50"/>
      <c r="ET24" s="29"/>
      <c r="EU24" s="10"/>
      <c r="EV24" s="158"/>
      <c r="EW24" s="11"/>
      <c r="EX24" s="11"/>
      <c r="EY24" s="11"/>
      <c r="EZ24" s="12"/>
      <c r="FA24" s="12"/>
      <c r="FB24" s="12"/>
      <c r="FC24" s="12"/>
      <c r="FD24" s="12"/>
      <c r="FE24" s="152"/>
      <c r="FF24" s="152"/>
      <c r="FG24" s="61"/>
      <c r="FH24" s="13"/>
      <c r="FI24" s="13"/>
      <c r="FJ24" s="13"/>
      <c r="FK24" s="60"/>
      <c r="FL24" s="99"/>
      <c r="FN24" s="163"/>
      <c r="FO24" s="161"/>
      <c r="FP24" s="63"/>
      <c r="FQ24" s="64"/>
      <c r="FR24" s="62"/>
      <c r="FS24" s="50"/>
      <c r="FT24" s="29"/>
      <c r="FU24" s="10"/>
      <c r="FV24" s="158"/>
      <c r="FW24" s="11"/>
      <c r="FX24" s="11"/>
      <c r="FY24" s="11"/>
      <c r="FZ24" s="12"/>
      <c r="GA24" s="12"/>
      <c r="GB24" s="12"/>
      <c r="GC24" s="12"/>
      <c r="GD24" s="12"/>
      <c r="GE24" s="152"/>
      <c r="GF24" s="152"/>
      <c r="GG24" s="61"/>
      <c r="GH24" s="13"/>
      <c r="GI24" s="13"/>
      <c r="GJ24" s="13"/>
      <c r="GK24" s="60"/>
      <c r="GL24" s="99"/>
      <c r="GN24" s="163"/>
      <c r="GO24" s="161"/>
      <c r="GP24" s="63"/>
      <c r="GQ24" s="64"/>
      <c r="GR24" s="62"/>
      <c r="GS24" s="50"/>
      <c r="GT24" s="29"/>
      <c r="GU24" s="10"/>
      <c r="GV24" s="158"/>
      <c r="GW24" s="11"/>
      <c r="GX24" s="11"/>
      <c r="GY24" s="11"/>
      <c r="GZ24" s="12"/>
      <c r="HA24" s="12"/>
      <c r="HB24" s="12"/>
      <c r="HC24" s="12"/>
      <c r="HD24" s="12"/>
      <c r="HE24" s="152"/>
      <c r="HF24" s="152"/>
      <c r="HG24" s="61"/>
      <c r="HH24" s="13"/>
      <c r="HI24" s="13"/>
      <c r="HJ24" s="13"/>
      <c r="HK24" s="60"/>
      <c r="HL24" s="99"/>
      <c r="HN24" s="163"/>
      <c r="HO24" s="161"/>
      <c r="HP24" s="63"/>
      <c r="HQ24" s="64"/>
      <c r="HR24" s="62"/>
      <c r="HS24" s="50"/>
      <c r="HT24" s="29"/>
      <c r="HU24" s="10"/>
      <c r="HV24" s="158"/>
      <c r="HW24" s="11"/>
      <c r="HX24" s="11"/>
      <c r="HY24" s="11"/>
      <c r="HZ24" s="12"/>
      <c r="IA24" s="12"/>
      <c r="IB24" s="12"/>
      <c r="IC24" s="12"/>
      <c r="ID24" s="12"/>
      <c r="IE24" s="152"/>
      <c r="IF24" s="152"/>
      <c r="IG24" s="61"/>
      <c r="IH24" s="13"/>
      <c r="II24" s="13"/>
      <c r="IJ24" s="13"/>
      <c r="IK24" s="60"/>
      <c r="IL24" s="99"/>
      <c r="IN24" s="163"/>
      <c r="IO24" s="161"/>
      <c r="IP24" s="63"/>
      <c r="IQ24" s="64"/>
      <c r="IR24" s="62"/>
      <c r="IS24" s="50"/>
      <c r="IT24" s="29"/>
      <c r="IU24" s="10"/>
      <c r="IV24" s="158"/>
      <c r="IW24" s="11"/>
      <c r="IX24" s="11"/>
      <c r="IY24" s="11"/>
      <c r="IZ24" s="12"/>
      <c r="JA24" s="12"/>
      <c r="JB24" s="12"/>
      <c r="JC24" s="12"/>
      <c r="JD24" s="12"/>
      <c r="JE24" s="152"/>
      <c r="JF24" s="152"/>
      <c r="JG24" s="61"/>
      <c r="JH24" s="13"/>
      <c r="JI24" s="13"/>
      <c r="JJ24" s="13"/>
      <c r="JK24" s="60"/>
      <c r="JL24" s="99"/>
      <c r="JN24" s="163"/>
      <c r="JO24" s="161"/>
      <c r="JP24" s="63"/>
      <c r="JQ24" s="64"/>
      <c r="JR24" s="62"/>
      <c r="JS24" s="50"/>
      <c r="JT24" s="29"/>
      <c r="JU24" s="10"/>
      <c r="JV24" s="158"/>
      <c r="JW24" s="11"/>
      <c r="JX24" s="11"/>
      <c r="JY24" s="11"/>
      <c r="JZ24" s="12"/>
      <c r="KA24" s="12"/>
      <c r="KB24" s="12"/>
      <c r="KC24" s="12"/>
      <c r="KD24" s="12"/>
      <c r="KE24" s="152"/>
      <c r="KF24" s="152"/>
      <c r="KG24" s="61"/>
      <c r="KH24" s="13"/>
      <c r="KI24" s="13"/>
      <c r="KJ24" s="13"/>
      <c r="KK24" s="60"/>
      <c r="KL24" s="99"/>
      <c r="KN24" s="163"/>
      <c r="KO24" s="161"/>
      <c r="KP24" s="63"/>
      <c r="KQ24" s="64"/>
      <c r="KR24" s="62"/>
      <c r="KS24" s="50"/>
      <c r="KT24" s="29"/>
      <c r="KU24" s="10"/>
      <c r="KV24" s="158"/>
      <c r="KW24" s="11"/>
      <c r="KX24" s="11"/>
      <c r="KY24" s="11"/>
      <c r="KZ24" s="12"/>
      <c r="LA24" s="12"/>
      <c r="LB24" s="12"/>
      <c r="LC24" s="12"/>
      <c r="LD24" s="12"/>
      <c r="LE24" s="152"/>
      <c r="LF24" s="152"/>
      <c r="LG24" s="61"/>
      <c r="LH24" s="13"/>
      <c r="LI24" s="13"/>
      <c r="LJ24" s="13"/>
      <c r="LK24" s="60"/>
      <c r="LL24" s="99"/>
      <c r="LO24" s="238"/>
    </row>
    <row r="25" spans="1:327" x14ac:dyDescent="0.35">
      <c r="A25" s="52"/>
      <c r="B25" s="69"/>
      <c r="C25" s="73"/>
      <c r="D25" s="55"/>
      <c r="E25" s="282"/>
      <c r="F25" s="56"/>
      <c r="G25" s="57"/>
      <c r="H25" s="59"/>
      <c r="I25" s="54"/>
      <c r="J25" s="59"/>
      <c r="K25" s="55"/>
      <c r="L25" s="67"/>
      <c r="M25" s="164"/>
      <c r="N25" s="163"/>
      <c r="O25" s="161"/>
      <c r="P25" s="63"/>
      <c r="Q25" s="163"/>
      <c r="R25" s="62"/>
      <c r="S25" s="50"/>
      <c r="T25" s="29"/>
      <c r="U25" s="10"/>
      <c r="V25" s="158"/>
      <c r="W25" s="11"/>
      <c r="X25" s="11"/>
      <c r="Y25" s="11"/>
      <c r="Z25" s="12"/>
      <c r="AA25" s="12"/>
      <c r="AB25" s="12"/>
      <c r="AC25" s="12"/>
      <c r="AD25" s="12"/>
      <c r="AE25" s="152"/>
      <c r="AF25" s="152"/>
      <c r="AG25" s="61"/>
      <c r="AH25" s="13"/>
      <c r="AI25" s="13"/>
      <c r="AJ25" s="13"/>
      <c r="AK25" s="60"/>
      <c r="AL25" s="99"/>
      <c r="AN25" s="163"/>
      <c r="AO25" s="161"/>
      <c r="AP25" s="63"/>
      <c r="AQ25" s="64"/>
      <c r="AR25" s="62"/>
      <c r="AS25" s="50"/>
      <c r="AT25" s="29"/>
      <c r="AU25" s="10"/>
      <c r="AV25" s="158"/>
      <c r="AW25" s="11"/>
      <c r="AX25" s="11"/>
      <c r="AY25" s="11"/>
      <c r="AZ25" s="12"/>
      <c r="BA25" s="12"/>
      <c r="BB25" s="12"/>
      <c r="BC25" s="12"/>
      <c r="BD25" s="12"/>
      <c r="BE25" s="152"/>
      <c r="BF25" s="152"/>
      <c r="BG25" s="61"/>
      <c r="BH25" s="13"/>
      <c r="BI25" s="13"/>
      <c r="BJ25" s="13"/>
      <c r="BK25" s="60"/>
      <c r="BL25" s="99"/>
      <c r="BM25" s="14"/>
      <c r="BN25" s="163"/>
      <c r="BO25" s="161"/>
      <c r="BP25" s="63"/>
      <c r="BQ25" s="64"/>
      <c r="BR25" s="62"/>
      <c r="BS25" s="50"/>
      <c r="BT25" s="29"/>
      <c r="BU25" s="10"/>
      <c r="BV25" s="158"/>
      <c r="BW25" s="11"/>
      <c r="BX25" s="11"/>
      <c r="BY25" s="11"/>
      <c r="BZ25" s="12"/>
      <c r="CA25" s="12"/>
      <c r="CB25" s="12"/>
      <c r="CC25" s="12"/>
      <c r="CD25" s="12"/>
      <c r="CE25" s="152"/>
      <c r="CF25" s="152"/>
      <c r="CG25" s="61"/>
      <c r="CH25" s="13"/>
      <c r="CI25" s="13"/>
      <c r="CJ25" s="13"/>
      <c r="CK25" s="60"/>
      <c r="CL25" s="99"/>
      <c r="CN25" s="163"/>
      <c r="CO25" s="161"/>
      <c r="CP25" s="63"/>
      <c r="CQ25" s="64"/>
      <c r="CR25" s="62"/>
      <c r="CS25" s="50"/>
      <c r="CT25" s="29"/>
      <c r="CU25" s="10"/>
      <c r="CV25" s="158"/>
      <c r="CW25" s="11"/>
      <c r="CX25" s="11"/>
      <c r="CY25" s="11"/>
      <c r="CZ25" s="12"/>
      <c r="DA25" s="12"/>
      <c r="DB25" s="12"/>
      <c r="DC25" s="12"/>
      <c r="DD25" s="12"/>
      <c r="DE25" s="152"/>
      <c r="DF25" s="152"/>
      <c r="DG25" s="61"/>
      <c r="DH25" s="13"/>
      <c r="DI25" s="13"/>
      <c r="DJ25" s="13"/>
      <c r="DK25" s="60"/>
      <c r="DL25" s="99"/>
      <c r="DN25" s="163"/>
      <c r="DO25" s="161"/>
      <c r="DP25" s="63"/>
      <c r="DQ25" s="64"/>
      <c r="DR25" s="62"/>
      <c r="DS25" s="50"/>
      <c r="DT25" s="29"/>
      <c r="DU25" s="10"/>
      <c r="DV25" s="158"/>
      <c r="DW25" s="11"/>
      <c r="DX25" s="11"/>
      <c r="DY25" s="11"/>
      <c r="DZ25" s="12"/>
      <c r="EA25" s="12"/>
      <c r="EB25" s="12"/>
      <c r="EC25" s="12"/>
      <c r="ED25" s="12"/>
      <c r="EE25" s="152"/>
      <c r="EF25" s="152"/>
      <c r="EG25" s="61"/>
      <c r="EH25" s="13"/>
      <c r="EI25" s="13"/>
      <c r="EJ25" s="13"/>
      <c r="EK25" s="60"/>
      <c r="EL25" s="99"/>
      <c r="EN25" s="163"/>
      <c r="EO25" s="161"/>
      <c r="EP25" s="63"/>
      <c r="EQ25" s="64"/>
      <c r="ER25" s="62"/>
      <c r="ES25" s="50"/>
      <c r="ET25" s="29"/>
      <c r="EU25" s="10"/>
      <c r="EV25" s="158"/>
      <c r="EW25" s="11"/>
      <c r="EX25" s="11"/>
      <c r="EY25" s="11"/>
      <c r="EZ25" s="12"/>
      <c r="FA25" s="12"/>
      <c r="FB25" s="12"/>
      <c r="FC25" s="12"/>
      <c r="FD25" s="12"/>
      <c r="FE25" s="152"/>
      <c r="FF25" s="152"/>
      <c r="FG25" s="61"/>
      <c r="FH25" s="13"/>
      <c r="FI25" s="13"/>
      <c r="FJ25" s="13"/>
      <c r="FK25" s="60"/>
      <c r="FL25" s="99"/>
      <c r="FN25" s="163"/>
      <c r="FO25" s="161"/>
      <c r="FP25" s="63"/>
      <c r="FQ25" s="64"/>
      <c r="FR25" s="62"/>
      <c r="FS25" s="50"/>
      <c r="FT25" s="29"/>
      <c r="FU25" s="10"/>
      <c r="FV25" s="158"/>
      <c r="FW25" s="11"/>
      <c r="FX25" s="11"/>
      <c r="FY25" s="11"/>
      <c r="FZ25" s="12"/>
      <c r="GA25" s="12"/>
      <c r="GB25" s="12"/>
      <c r="GC25" s="12"/>
      <c r="GD25" s="12"/>
      <c r="GE25" s="152"/>
      <c r="GF25" s="152"/>
      <c r="GG25" s="61"/>
      <c r="GH25" s="13"/>
      <c r="GI25" s="13"/>
      <c r="GJ25" s="13"/>
      <c r="GK25" s="60"/>
      <c r="GL25" s="99"/>
      <c r="GN25" s="163"/>
      <c r="GO25" s="161"/>
      <c r="GP25" s="63"/>
      <c r="GQ25" s="64"/>
      <c r="GR25" s="62"/>
      <c r="GS25" s="50"/>
      <c r="GT25" s="29"/>
      <c r="GU25" s="10"/>
      <c r="GV25" s="158"/>
      <c r="GW25" s="11"/>
      <c r="GX25" s="11"/>
      <c r="GY25" s="11"/>
      <c r="GZ25" s="12"/>
      <c r="HA25" s="12"/>
      <c r="HB25" s="12"/>
      <c r="HC25" s="12"/>
      <c r="HD25" s="12"/>
      <c r="HE25" s="152"/>
      <c r="HF25" s="152"/>
      <c r="HG25" s="61"/>
      <c r="HH25" s="13"/>
      <c r="HI25" s="13"/>
      <c r="HJ25" s="13"/>
      <c r="HK25" s="60"/>
      <c r="HL25" s="99"/>
      <c r="HN25" s="163"/>
      <c r="HO25" s="161"/>
      <c r="HP25" s="63"/>
      <c r="HQ25" s="64"/>
      <c r="HR25" s="62"/>
      <c r="HS25" s="50"/>
      <c r="HT25" s="29"/>
      <c r="HU25" s="10"/>
      <c r="HV25" s="158"/>
      <c r="HW25" s="11"/>
      <c r="HX25" s="11"/>
      <c r="HY25" s="11"/>
      <c r="HZ25" s="12"/>
      <c r="IA25" s="12"/>
      <c r="IB25" s="12"/>
      <c r="IC25" s="12"/>
      <c r="ID25" s="12"/>
      <c r="IE25" s="152"/>
      <c r="IF25" s="152"/>
      <c r="IG25" s="61"/>
      <c r="IH25" s="13"/>
      <c r="II25" s="13"/>
      <c r="IJ25" s="13"/>
      <c r="IK25" s="60"/>
      <c r="IL25" s="99"/>
      <c r="IN25" s="163"/>
      <c r="IO25" s="161"/>
      <c r="IP25" s="63"/>
      <c r="IQ25" s="64"/>
      <c r="IR25" s="62"/>
      <c r="IS25" s="50"/>
      <c r="IT25" s="29"/>
      <c r="IU25" s="10"/>
      <c r="IV25" s="158"/>
      <c r="IW25" s="11"/>
      <c r="IX25" s="11"/>
      <c r="IY25" s="11"/>
      <c r="IZ25" s="12"/>
      <c r="JA25" s="12"/>
      <c r="JB25" s="12"/>
      <c r="JC25" s="12"/>
      <c r="JD25" s="12"/>
      <c r="JE25" s="152"/>
      <c r="JF25" s="152"/>
      <c r="JG25" s="61"/>
      <c r="JH25" s="13"/>
      <c r="JI25" s="13"/>
      <c r="JJ25" s="13"/>
      <c r="JK25" s="60"/>
      <c r="JL25" s="99"/>
      <c r="JN25" s="163"/>
      <c r="JO25" s="161"/>
      <c r="JP25" s="63"/>
      <c r="JQ25" s="64"/>
      <c r="JR25" s="62"/>
      <c r="JS25" s="50"/>
      <c r="JT25" s="29"/>
      <c r="JU25" s="10"/>
      <c r="JV25" s="158"/>
      <c r="JW25" s="11"/>
      <c r="JX25" s="11"/>
      <c r="JY25" s="11"/>
      <c r="JZ25" s="12"/>
      <c r="KA25" s="12"/>
      <c r="KB25" s="12"/>
      <c r="KC25" s="12"/>
      <c r="KD25" s="12"/>
      <c r="KE25" s="152"/>
      <c r="KF25" s="152"/>
      <c r="KG25" s="61"/>
      <c r="KH25" s="13"/>
      <c r="KI25" s="13"/>
      <c r="KJ25" s="13"/>
      <c r="KK25" s="60"/>
      <c r="KL25" s="99"/>
      <c r="KN25" s="163"/>
      <c r="KO25" s="161"/>
      <c r="KP25" s="63"/>
      <c r="KQ25" s="64"/>
      <c r="KR25" s="62"/>
      <c r="KS25" s="50"/>
      <c r="KT25" s="29"/>
      <c r="KU25" s="10"/>
      <c r="KV25" s="158"/>
      <c r="KW25" s="11"/>
      <c r="KX25" s="11"/>
      <c r="KY25" s="11"/>
      <c r="KZ25" s="12"/>
      <c r="LA25" s="12"/>
      <c r="LB25" s="12"/>
      <c r="LC25" s="12"/>
      <c r="LD25" s="12"/>
      <c r="LE25" s="152"/>
      <c r="LF25" s="152"/>
      <c r="LG25" s="61"/>
      <c r="LH25" s="13"/>
      <c r="LI25" s="13"/>
      <c r="LJ25" s="13"/>
      <c r="LK25" s="60"/>
      <c r="LL25" s="99"/>
      <c r="LO25" s="238"/>
    </row>
    <row r="26" spans="1:327" x14ac:dyDescent="0.35">
      <c r="A26" s="52"/>
      <c r="B26" s="69"/>
      <c r="C26" s="73"/>
      <c r="D26" s="55"/>
      <c r="E26" s="282"/>
      <c r="F26" s="56"/>
      <c r="G26" s="57"/>
      <c r="H26" s="59"/>
      <c r="I26" s="54"/>
      <c r="J26" s="59"/>
      <c r="K26" s="55"/>
      <c r="L26" s="67"/>
      <c r="M26" s="164"/>
      <c r="N26" s="163"/>
      <c r="O26" s="161"/>
      <c r="P26" s="63"/>
      <c r="Q26" s="163"/>
      <c r="R26" s="62"/>
      <c r="S26" s="50"/>
      <c r="T26" s="29"/>
      <c r="U26" s="10"/>
      <c r="V26" s="158"/>
      <c r="W26" s="11"/>
      <c r="X26" s="11"/>
      <c r="Y26" s="11"/>
      <c r="Z26" s="12"/>
      <c r="AA26" s="12"/>
      <c r="AB26" s="12"/>
      <c r="AC26" s="12"/>
      <c r="AD26" s="12"/>
      <c r="AE26" s="152"/>
      <c r="AF26" s="152"/>
      <c r="AG26" s="61"/>
      <c r="AH26" s="13"/>
      <c r="AI26" s="13"/>
      <c r="AJ26" s="13"/>
      <c r="AK26" s="60"/>
      <c r="AL26" s="99"/>
      <c r="AN26" s="163"/>
      <c r="AO26" s="161"/>
      <c r="AP26" s="63"/>
      <c r="AQ26" s="64"/>
      <c r="AR26" s="62"/>
      <c r="AS26" s="50"/>
      <c r="AT26" s="29"/>
      <c r="AU26" s="10"/>
      <c r="AV26" s="158"/>
      <c r="AW26" s="11"/>
      <c r="AX26" s="11"/>
      <c r="AY26" s="11"/>
      <c r="AZ26" s="12"/>
      <c r="BA26" s="12"/>
      <c r="BB26" s="12"/>
      <c r="BC26" s="12"/>
      <c r="BD26" s="12"/>
      <c r="BE26" s="152"/>
      <c r="BF26" s="152"/>
      <c r="BG26" s="61"/>
      <c r="BH26" s="13"/>
      <c r="BI26" s="13"/>
      <c r="BJ26" s="13"/>
      <c r="BK26" s="60"/>
      <c r="BL26" s="99"/>
      <c r="BM26" s="14"/>
      <c r="BN26" s="163"/>
      <c r="BO26" s="161"/>
      <c r="BP26" s="63"/>
      <c r="BQ26" s="64"/>
      <c r="BR26" s="62"/>
      <c r="BS26" s="50"/>
      <c r="BT26" s="29"/>
      <c r="BU26" s="10"/>
      <c r="BV26" s="158"/>
      <c r="BW26" s="11"/>
      <c r="BX26" s="11"/>
      <c r="BY26" s="11"/>
      <c r="BZ26" s="12"/>
      <c r="CA26" s="12"/>
      <c r="CB26" s="12"/>
      <c r="CC26" s="12"/>
      <c r="CD26" s="12"/>
      <c r="CE26" s="152"/>
      <c r="CF26" s="152"/>
      <c r="CG26" s="61"/>
      <c r="CH26" s="13"/>
      <c r="CI26" s="13"/>
      <c r="CJ26" s="13"/>
      <c r="CK26" s="60"/>
      <c r="CL26" s="99"/>
      <c r="CN26" s="163"/>
      <c r="CO26" s="161"/>
      <c r="CP26" s="63"/>
      <c r="CQ26" s="64"/>
      <c r="CR26" s="62"/>
      <c r="CS26" s="50"/>
      <c r="CT26" s="29"/>
      <c r="CU26" s="10"/>
      <c r="CV26" s="158"/>
      <c r="CW26" s="11"/>
      <c r="CX26" s="11"/>
      <c r="CY26" s="11"/>
      <c r="CZ26" s="12"/>
      <c r="DA26" s="12"/>
      <c r="DB26" s="12"/>
      <c r="DC26" s="12"/>
      <c r="DD26" s="12"/>
      <c r="DE26" s="152"/>
      <c r="DF26" s="152"/>
      <c r="DG26" s="61"/>
      <c r="DH26" s="13"/>
      <c r="DI26" s="13"/>
      <c r="DJ26" s="13"/>
      <c r="DK26" s="60"/>
      <c r="DL26" s="99"/>
      <c r="DN26" s="163"/>
      <c r="DO26" s="161"/>
      <c r="DP26" s="63"/>
      <c r="DQ26" s="64"/>
      <c r="DR26" s="62"/>
      <c r="DS26" s="50"/>
      <c r="DT26" s="29"/>
      <c r="DU26" s="10"/>
      <c r="DV26" s="158"/>
      <c r="DW26" s="11"/>
      <c r="DX26" s="11"/>
      <c r="DY26" s="11"/>
      <c r="DZ26" s="12"/>
      <c r="EA26" s="12"/>
      <c r="EB26" s="12"/>
      <c r="EC26" s="12"/>
      <c r="ED26" s="12"/>
      <c r="EE26" s="152"/>
      <c r="EF26" s="152"/>
      <c r="EG26" s="61"/>
      <c r="EH26" s="13"/>
      <c r="EI26" s="13"/>
      <c r="EJ26" s="13"/>
      <c r="EK26" s="60"/>
      <c r="EL26" s="99"/>
      <c r="EN26" s="163"/>
      <c r="EO26" s="161"/>
      <c r="EP26" s="63"/>
      <c r="EQ26" s="64"/>
      <c r="ER26" s="62"/>
      <c r="ES26" s="50"/>
      <c r="ET26" s="29"/>
      <c r="EU26" s="10"/>
      <c r="EV26" s="158"/>
      <c r="EW26" s="11"/>
      <c r="EX26" s="11"/>
      <c r="EY26" s="11"/>
      <c r="EZ26" s="12"/>
      <c r="FA26" s="12"/>
      <c r="FB26" s="12"/>
      <c r="FC26" s="12"/>
      <c r="FD26" s="12"/>
      <c r="FE26" s="152"/>
      <c r="FF26" s="152"/>
      <c r="FG26" s="61"/>
      <c r="FH26" s="13"/>
      <c r="FI26" s="13"/>
      <c r="FJ26" s="13"/>
      <c r="FK26" s="60"/>
      <c r="FL26" s="99"/>
      <c r="FN26" s="163"/>
      <c r="FO26" s="161"/>
      <c r="FP26" s="63"/>
      <c r="FQ26" s="64"/>
      <c r="FR26" s="62"/>
      <c r="FS26" s="50"/>
      <c r="FT26" s="29"/>
      <c r="FU26" s="10"/>
      <c r="FV26" s="158"/>
      <c r="FW26" s="11"/>
      <c r="FX26" s="11"/>
      <c r="FY26" s="11"/>
      <c r="FZ26" s="12"/>
      <c r="GA26" s="12"/>
      <c r="GB26" s="12"/>
      <c r="GC26" s="12"/>
      <c r="GD26" s="12"/>
      <c r="GE26" s="152"/>
      <c r="GF26" s="152"/>
      <c r="GG26" s="61"/>
      <c r="GH26" s="13"/>
      <c r="GI26" s="13"/>
      <c r="GJ26" s="13"/>
      <c r="GK26" s="60"/>
      <c r="GL26" s="99"/>
      <c r="GN26" s="163"/>
      <c r="GO26" s="161"/>
      <c r="GP26" s="63"/>
      <c r="GQ26" s="64"/>
      <c r="GR26" s="62"/>
      <c r="GS26" s="50"/>
      <c r="GT26" s="29"/>
      <c r="GU26" s="10"/>
      <c r="GV26" s="158"/>
      <c r="GW26" s="11"/>
      <c r="GX26" s="11"/>
      <c r="GY26" s="11"/>
      <c r="GZ26" s="12"/>
      <c r="HA26" s="12"/>
      <c r="HB26" s="12"/>
      <c r="HC26" s="12"/>
      <c r="HD26" s="12"/>
      <c r="HE26" s="152"/>
      <c r="HF26" s="152"/>
      <c r="HG26" s="61"/>
      <c r="HH26" s="13"/>
      <c r="HI26" s="13"/>
      <c r="HJ26" s="13"/>
      <c r="HK26" s="60"/>
      <c r="HL26" s="99"/>
      <c r="HN26" s="163"/>
      <c r="HO26" s="161"/>
      <c r="HP26" s="63"/>
      <c r="HQ26" s="64"/>
      <c r="HR26" s="62"/>
      <c r="HS26" s="50"/>
      <c r="HT26" s="29"/>
      <c r="HU26" s="10"/>
      <c r="HV26" s="158"/>
      <c r="HW26" s="11"/>
      <c r="HX26" s="11"/>
      <c r="HY26" s="11"/>
      <c r="HZ26" s="12"/>
      <c r="IA26" s="12"/>
      <c r="IB26" s="12"/>
      <c r="IC26" s="12"/>
      <c r="ID26" s="12"/>
      <c r="IE26" s="152"/>
      <c r="IF26" s="152"/>
      <c r="IG26" s="61"/>
      <c r="IH26" s="13"/>
      <c r="II26" s="13"/>
      <c r="IJ26" s="13"/>
      <c r="IK26" s="60"/>
      <c r="IL26" s="99"/>
      <c r="IN26" s="163"/>
      <c r="IO26" s="161"/>
      <c r="IP26" s="63"/>
      <c r="IQ26" s="64"/>
      <c r="IR26" s="62"/>
      <c r="IS26" s="50"/>
      <c r="IT26" s="29"/>
      <c r="IU26" s="10"/>
      <c r="IV26" s="158"/>
      <c r="IW26" s="11"/>
      <c r="IX26" s="11"/>
      <c r="IY26" s="11"/>
      <c r="IZ26" s="12"/>
      <c r="JA26" s="12"/>
      <c r="JB26" s="12"/>
      <c r="JC26" s="12"/>
      <c r="JD26" s="12"/>
      <c r="JE26" s="152"/>
      <c r="JF26" s="152"/>
      <c r="JG26" s="61"/>
      <c r="JH26" s="13"/>
      <c r="JI26" s="13"/>
      <c r="JJ26" s="13"/>
      <c r="JK26" s="60"/>
      <c r="JL26" s="99"/>
      <c r="JN26" s="163"/>
      <c r="JO26" s="161"/>
      <c r="JP26" s="63"/>
      <c r="JQ26" s="64"/>
      <c r="JR26" s="62"/>
      <c r="JS26" s="50"/>
      <c r="JT26" s="29"/>
      <c r="JU26" s="10"/>
      <c r="JV26" s="158"/>
      <c r="JW26" s="11"/>
      <c r="JX26" s="11"/>
      <c r="JY26" s="11"/>
      <c r="JZ26" s="12"/>
      <c r="KA26" s="12"/>
      <c r="KB26" s="12"/>
      <c r="KC26" s="12"/>
      <c r="KD26" s="12"/>
      <c r="KE26" s="152"/>
      <c r="KF26" s="152"/>
      <c r="KG26" s="61"/>
      <c r="KH26" s="13"/>
      <c r="KI26" s="13"/>
      <c r="KJ26" s="13"/>
      <c r="KK26" s="60"/>
      <c r="KL26" s="99"/>
      <c r="KN26" s="163"/>
      <c r="KO26" s="161"/>
      <c r="KP26" s="63"/>
      <c r="KQ26" s="64"/>
      <c r="KR26" s="62"/>
      <c r="KS26" s="50"/>
      <c r="KT26" s="29"/>
      <c r="KU26" s="10"/>
      <c r="KV26" s="158"/>
      <c r="KW26" s="11"/>
      <c r="KX26" s="11"/>
      <c r="KY26" s="11"/>
      <c r="KZ26" s="12"/>
      <c r="LA26" s="12"/>
      <c r="LB26" s="12"/>
      <c r="LC26" s="12"/>
      <c r="LD26" s="12"/>
      <c r="LE26" s="152"/>
      <c r="LF26" s="152"/>
      <c r="LG26" s="61"/>
      <c r="LH26" s="13"/>
      <c r="LI26" s="13"/>
      <c r="LJ26" s="13"/>
      <c r="LK26" s="60"/>
      <c r="LL26" s="99"/>
      <c r="LO26" s="238"/>
    </row>
    <row r="27" spans="1:327" x14ac:dyDescent="0.35">
      <c r="A27" s="52"/>
      <c r="B27" s="69"/>
      <c r="C27" s="73"/>
      <c r="D27" s="55"/>
      <c r="E27" s="281"/>
      <c r="F27" s="56"/>
      <c r="G27" s="57"/>
      <c r="H27" s="59"/>
      <c r="I27" s="54"/>
      <c r="J27" s="59"/>
      <c r="K27" s="55"/>
      <c r="L27" s="67"/>
      <c r="M27" s="164"/>
      <c r="N27" s="163"/>
      <c r="O27" s="161"/>
      <c r="P27" s="63"/>
      <c r="Q27" s="163"/>
      <c r="R27" s="62"/>
      <c r="S27" s="50"/>
      <c r="T27" s="29"/>
      <c r="U27" s="10"/>
      <c r="V27" s="158"/>
      <c r="W27" s="11"/>
      <c r="X27" s="11"/>
      <c r="Y27" s="11"/>
      <c r="Z27" s="12"/>
      <c r="AA27" s="12"/>
      <c r="AB27" s="12"/>
      <c r="AC27" s="12"/>
      <c r="AD27" s="12"/>
      <c r="AE27" s="152"/>
      <c r="AF27" s="152"/>
      <c r="AG27" s="61"/>
      <c r="AH27" s="13"/>
      <c r="AI27" s="13"/>
      <c r="AJ27" s="13"/>
      <c r="AK27" s="60"/>
      <c r="AL27" s="99"/>
      <c r="AN27" s="163"/>
      <c r="AO27" s="161"/>
      <c r="AP27" s="63"/>
      <c r="AQ27" s="64"/>
      <c r="AR27" s="62"/>
      <c r="AS27" s="50"/>
      <c r="AT27" s="29"/>
      <c r="AU27" s="10"/>
      <c r="AV27" s="158"/>
      <c r="AW27" s="11"/>
      <c r="AX27" s="11"/>
      <c r="AY27" s="11"/>
      <c r="AZ27" s="12"/>
      <c r="BA27" s="12"/>
      <c r="BB27" s="12"/>
      <c r="BC27" s="12"/>
      <c r="BD27" s="12"/>
      <c r="BE27" s="152"/>
      <c r="BF27" s="152"/>
      <c r="BG27" s="61"/>
      <c r="BH27" s="13"/>
      <c r="BI27" s="13"/>
      <c r="BJ27" s="13"/>
      <c r="BK27" s="60"/>
      <c r="BL27" s="99"/>
      <c r="BM27" s="14"/>
      <c r="BN27" s="163"/>
      <c r="BO27" s="161"/>
      <c r="BP27" s="63"/>
      <c r="BQ27" s="64"/>
      <c r="BR27" s="62"/>
      <c r="BS27" s="50"/>
      <c r="BT27" s="29"/>
      <c r="BU27" s="10"/>
      <c r="BV27" s="158"/>
      <c r="BW27" s="11"/>
      <c r="BX27" s="11"/>
      <c r="BY27" s="11"/>
      <c r="BZ27" s="12"/>
      <c r="CA27" s="12"/>
      <c r="CB27" s="12"/>
      <c r="CC27" s="12"/>
      <c r="CD27" s="12"/>
      <c r="CE27" s="152"/>
      <c r="CF27" s="152"/>
      <c r="CG27" s="61"/>
      <c r="CH27" s="13"/>
      <c r="CI27" s="13"/>
      <c r="CJ27" s="13"/>
      <c r="CK27" s="60"/>
      <c r="CL27" s="99"/>
      <c r="CN27" s="163"/>
      <c r="CO27" s="161"/>
      <c r="CP27" s="63"/>
      <c r="CQ27" s="64"/>
      <c r="CR27" s="62"/>
      <c r="CS27" s="50"/>
      <c r="CT27" s="29"/>
      <c r="CU27" s="10"/>
      <c r="CV27" s="158"/>
      <c r="CW27" s="11"/>
      <c r="CX27" s="11"/>
      <c r="CY27" s="11"/>
      <c r="CZ27" s="12"/>
      <c r="DA27" s="12"/>
      <c r="DB27" s="12"/>
      <c r="DC27" s="12"/>
      <c r="DD27" s="12"/>
      <c r="DE27" s="152"/>
      <c r="DF27" s="152"/>
      <c r="DG27" s="61"/>
      <c r="DH27" s="13"/>
      <c r="DI27" s="13"/>
      <c r="DJ27" s="13"/>
      <c r="DK27" s="60"/>
      <c r="DL27" s="99"/>
      <c r="DN27" s="163"/>
      <c r="DO27" s="161"/>
      <c r="DP27" s="63"/>
      <c r="DQ27" s="64"/>
      <c r="DR27" s="62"/>
      <c r="DS27" s="50"/>
      <c r="DT27" s="29"/>
      <c r="DU27" s="10"/>
      <c r="DV27" s="158"/>
      <c r="DW27" s="11"/>
      <c r="DX27" s="11"/>
      <c r="DY27" s="11"/>
      <c r="DZ27" s="12"/>
      <c r="EA27" s="12"/>
      <c r="EB27" s="12"/>
      <c r="EC27" s="12"/>
      <c r="ED27" s="12"/>
      <c r="EE27" s="152"/>
      <c r="EF27" s="152"/>
      <c r="EG27" s="61"/>
      <c r="EH27" s="13"/>
      <c r="EI27" s="13"/>
      <c r="EJ27" s="13"/>
      <c r="EK27" s="60"/>
      <c r="EL27" s="99"/>
      <c r="EN27" s="163"/>
      <c r="EO27" s="161"/>
      <c r="EP27" s="63"/>
      <c r="EQ27" s="64"/>
      <c r="ER27" s="62"/>
      <c r="ES27" s="50"/>
      <c r="ET27" s="29"/>
      <c r="EU27" s="10"/>
      <c r="EV27" s="158"/>
      <c r="EW27" s="11"/>
      <c r="EX27" s="11"/>
      <c r="EY27" s="11"/>
      <c r="EZ27" s="12"/>
      <c r="FA27" s="12"/>
      <c r="FB27" s="12"/>
      <c r="FC27" s="12"/>
      <c r="FD27" s="12"/>
      <c r="FE27" s="152"/>
      <c r="FF27" s="152"/>
      <c r="FG27" s="61"/>
      <c r="FH27" s="13"/>
      <c r="FI27" s="13"/>
      <c r="FJ27" s="13"/>
      <c r="FK27" s="60"/>
      <c r="FL27" s="99"/>
      <c r="FN27" s="163"/>
      <c r="FO27" s="161"/>
      <c r="FP27" s="63"/>
      <c r="FQ27" s="64"/>
      <c r="FR27" s="62"/>
      <c r="FS27" s="50"/>
      <c r="FT27" s="29"/>
      <c r="FU27" s="10"/>
      <c r="FV27" s="158"/>
      <c r="FW27" s="11"/>
      <c r="FX27" s="11"/>
      <c r="FY27" s="11"/>
      <c r="FZ27" s="12"/>
      <c r="GA27" s="12"/>
      <c r="GB27" s="12"/>
      <c r="GC27" s="12"/>
      <c r="GD27" s="12"/>
      <c r="GE27" s="152"/>
      <c r="GF27" s="152"/>
      <c r="GG27" s="61"/>
      <c r="GH27" s="13"/>
      <c r="GI27" s="13"/>
      <c r="GJ27" s="13"/>
      <c r="GK27" s="60"/>
      <c r="GL27" s="99"/>
      <c r="GN27" s="163"/>
      <c r="GO27" s="161"/>
      <c r="GP27" s="63"/>
      <c r="GQ27" s="64"/>
      <c r="GR27" s="62"/>
      <c r="GS27" s="50"/>
      <c r="GT27" s="29"/>
      <c r="GU27" s="10"/>
      <c r="GV27" s="158"/>
      <c r="GW27" s="11"/>
      <c r="GX27" s="11"/>
      <c r="GY27" s="11"/>
      <c r="GZ27" s="12"/>
      <c r="HA27" s="12"/>
      <c r="HB27" s="12"/>
      <c r="HC27" s="12"/>
      <c r="HD27" s="12"/>
      <c r="HE27" s="152"/>
      <c r="HF27" s="152"/>
      <c r="HG27" s="61"/>
      <c r="HH27" s="13"/>
      <c r="HI27" s="13"/>
      <c r="HJ27" s="13"/>
      <c r="HK27" s="60"/>
      <c r="HL27" s="99"/>
      <c r="HN27" s="163"/>
      <c r="HO27" s="161"/>
      <c r="HP27" s="63"/>
      <c r="HQ27" s="64"/>
      <c r="HR27" s="62"/>
      <c r="HS27" s="50"/>
      <c r="HT27" s="29"/>
      <c r="HU27" s="10"/>
      <c r="HV27" s="158"/>
      <c r="HW27" s="11"/>
      <c r="HX27" s="11"/>
      <c r="HY27" s="11"/>
      <c r="HZ27" s="12"/>
      <c r="IA27" s="12"/>
      <c r="IB27" s="12"/>
      <c r="IC27" s="12"/>
      <c r="ID27" s="12"/>
      <c r="IE27" s="152"/>
      <c r="IF27" s="152"/>
      <c r="IG27" s="61"/>
      <c r="IH27" s="13"/>
      <c r="II27" s="13"/>
      <c r="IJ27" s="13"/>
      <c r="IK27" s="60"/>
      <c r="IL27" s="99"/>
      <c r="IN27" s="163"/>
      <c r="IO27" s="161"/>
      <c r="IP27" s="63"/>
      <c r="IQ27" s="64"/>
      <c r="IR27" s="62"/>
      <c r="IS27" s="50"/>
      <c r="IT27" s="29"/>
      <c r="IU27" s="10"/>
      <c r="IV27" s="158"/>
      <c r="IW27" s="11"/>
      <c r="IX27" s="11"/>
      <c r="IY27" s="11"/>
      <c r="IZ27" s="12"/>
      <c r="JA27" s="12"/>
      <c r="JB27" s="12"/>
      <c r="JC27" s="12"/>
      <c r="JD27" s="12"/>
      <c r="JE27" s="152"/>
      <c r="JF27" s="152"/>
      <c r="JG27" s="61"/>
      <c r="JH27" s="13"/>
      <c r="JI27" s="13"/>
      <c r="JJ27" s="13"/>
      <c r="JK27" s="60"/>
      <c r="JL27" s="99"/>
      <c r="JN27" s="163"/>
      <c r="JO27" s="161"/>
      <c r="JP27" s="63"/>
      <c r="JQ27" s="64"/>
      <c r="JR27" s="62"/>
      <c r="JS27" s="50"/>
      <c r="JT27" s="29"/>
      <c r="JU27" s="10"/>
      <c r="JV27" s="158"/>
      <c r="JW27" s="11"/>
      <c r="JX27" s="11"/>
      <c r="JY27" s="11"/>
      <c r="JZ27" s="12"/>
      <c r="KA27" s="12"/>
      <c r="KB27" s="12"/>
      <c r="KC27" s="12"/>
      <c r="KD27" s="12"/>
      <c r="KE27" s="152"/>
      <c r="KF27" s="152"/>
      <c r="KG27" s="61"/>
      <c r="KH27" s="13"/>
      <c r="KI27" s="13"/>
      <c r="KJ27" s="13"/>
      <c r="KK27" s="60"/>
      <c r="KL27" s="99"/>
      <c r="KN27" s="163"/>
      <c r="KO27" s="161"/>
      <c r="KP27" s="63"/>
      <c r="KQ27" s="64"/>
      <c r="KR27" s="62"/>
      <c r="KS27" s="50"/>
      <c r="KT27" s="29"/>
      <c r="KU27" s="10"/>
      <c r="KV27" s="158"/>
      <c r="KW27" s="11"/>
      <c r="KX27" s="11"/>
      <c r="KY27" s="11"/>
      <c r="KZ27" s="12"/>
      <c r="LA27" s="12"/>
      <c r="LB27" s="12"/>
      <c r="LC27" s="12"/>
      <c r="LD27" s="12"/>
      <c r="LE27" s="152"/>
      <c r="LF27" s="152"/>
      <c r="LG27" s="61"/>
      <c r="LH27" s="13"/>
      <c r="LI27" s="13"/>
      <c r="LJ27" s="13"/>
      <c r="LK27" s="60"/>
      <c r="LL27" s="99"/>
      <c r="LO27" s="238"/>
    </row>
    <row r="28" spans="1:327" x14ac:dyDescent="0.35">
      <c r="A28" s="52"/>
      <c r="B28" s="69"/>
      <c r="C28" s="73"/>
      <c r="D28" s="55"/>
      <c r="E28" s="282"/>
      <c r="F28" s="56"/>
      <c r="G28" s="57"/>
      <c r="H28" s="59"/>
      <c r="I28" s="54"/>
      <c r="J28" s="59"/>
      <c r="K28" s="55"/>
      <c r="L28" s="67"/>
      <c r="M28" s="164"/>
      <c r="N28" s="163"/>
      <c r="O28" s="161"/>
      <c r="P28" s="63"/>
      <c r="Q28" s="163"/>
      <c r="R28" s="62"/>
      <c r="S28" s="50"/>
      <c r="T28" s="29"/>
      <c r="U28" s="10"/>
      <c r="V28" s="158"/>
      <c r="W28" s="11"/>
      <c r="X28" s="11"/>
      <c r="Y28" s="11"/>
      <c r="Z28" s="12"/>
      <c r="AA28" s="12"/>
      <c r="AB28" s="12"/>
      <c r="AC28" s="12"/>
      <c r="AD28" s="12"/>
      <c r="AE28" s="152"/>
      <c r="AF28" s="152"/>
      <c r="AG28" s="61"/>
      <c r="AH28" s="13"/>
      <c r="AI28" s="13"/>
      <c r="AJ28" s="13"/>
      <c r="AK28" s="60"/>
      <c r="AL28" s="99"/>
      <c r="AN28" s="163"/>
      <c r="AO28" s="161"/>
      <c r="AP28" s="63"/>
      <c r="AQ28" s="64"/>
      <c r="AR28" s="62"/>
      <c r="AS28" s="50"/>
      <c r="AT28" s="29"/>
      <c r="AU28" s="10"/>
      <c r="AV28" s="158"/>
      <c r="AW28" s="11"/>
      <c r="AX28" s="11"/>
      <c r="AY28" s="11"/>
      <c r="AZ28" s="12"/>
      <c r="BA28" s="12"/>
      <c r="BB28" s="12"/>
      <c r="BC28" s="12"/>
      <c r="BD28" s="12"/>
      <c r="BE28" s="152"/>
      <c r="BF28" s="152"/>
      <c r="BG28" s="61"/>
      <c r="BH28" s="13"/>
      <c r="BI28" s="13"/>
      <c r="BJ28" s="13"/>
      <c r="BK28" s="60"/>
      <c r="BL28" s="99"/>
      <c r="BM28" s="14"/>
      <c r="BN28" s="163"/>
      <c r="BO28" s="161"/>
      <c r="BP28" s="63"/>
      <c r="BQ28" s="64"/>
      <c r="BR28" s="62"/>
      <c r="BS28" s="50"/>
      <c r="BT28" s="29"/>
      <c r="BU28" s="10"/>
      <c r="BV28" s="158"/>
      <c r="BW28" s="11"/>
      <c r="BX28" s="11"/>
      <c r="BY28" s="11"/>
      <c r="BZ28" s="12"/>
      <c r="CA28" s="12"/>
      <c r="CB28" s="12"/>
      <c r="CC28" s="12"/>
      <c r="CD28" s="12"/>
      <c r="CE28" s="152"/>
      <c r="CF28" s="152"/>
      <c r="CG28" s="61"/>
      <c r="CH28" s="13"/>
      <c r="CI28" s="13"/>
      <c r="CJ28" s="13"/>
      <c r="CK28" s="60"/>
      <c r="CL28" s="99"/>
      <c r="CN28" s="163"/>
      <c r="CO28" s="161"/>
      <c r="CP28" s="63"/>
      <c r="CQ28" s="64"/>
      <c r="CR28" s="62"/>
      <c r="CS28" s="50"/>
      <c r="CT28" s="29"/>
      <c r="CU28" s="10"/>
      <c r="CV28" s="158"/>
      <c r="CW28" s="11"/>
      <c r="CX28" s="11"/>
      <c r="CY28" s="11"/>
      <c r="CZ28" s="12"/>
      <c r="DA28" s="12"/>
      <c r="DB28" s="12"/>
      <c r="DC28" s="12"/>
      <c r="DD28" s="12"/>
      <c r="DE28" s="152"/>
      <c r="DF28" s="152"/>
      <c r="DG28" s="61"/>
      <c r="DH28" s="13"/>
      <c r="DI28" s="13"/>
      <c r="DJ28" s="13"/>
      <c r="DK28" s="60"/>
      <c r="DL28" s="99"/>
      <c r="DN28" s="163"/>
      <c r="DO28" s="161"/>
      <c r="DP28" s="63"/>
      <c r="DQ28" s="64"/>
      <c r="DR28" s="62"/>
      <c r="DS28" s="50"/>
      <c r="DT28" s="29"/>
      <c r="DU28" s="10"/>
      <c r="DV28" s="158"/>
      <c r="DW28" s="11"/>
      <c r="DX28" s="11"/>
      <c r="DY28" s="11"/>
      <c r="DZ28" s="12"/>
      <c r="EA28" s="12"/>
      <c r="EB28" s="12"/>
      <c r="EC28" s="12"/>
      <c r="ED28" s="12"/>
      <c r="EE28" s="152"/>
      <c r="EF28" s="152"/>
      <c r="EG28" s="61"/>
      <c r="EH28" s="13"/>
      <c r="EI28" s="13"/>
      <c r="EJ28" s="13"/>
      <c r="EK28" s="60"/>
      <c r="EL28" s="99"/>
      <c r="EN28" s="163"/>
      <c r="EO28" s="161"/>
      <c r="EP28" s="63"/>
      <c r="EQ28" s="64"/>
      <c r="ER28" s="62"/>
      <c r="ES28" s="50"/>
      <c r="ET28" s="29"/>
      <c r="EU28" s="10"/>
      <c r="EV28" s="158"/>
      <c r="EW28" s="11"/>
      <c r="EX28" s="11"/>
      <c r="EY28" s="11"/>
      <c r="EZ28" s="12"/>
      <c r="FA28" s="12"/>
      <c r="FB28" s="12"/>
      <c r="FC28" s="12"/>
      <c r="FD28" s="12"/>
      <c r="FE28" s="152"/>
      <c r="FF28" s="152"/>
      <c r="FG28" s="61"/>
      <c r="FH28" s="13"/>
      <c r="FI28" s="13"/>
      <c r="FJ28" s="13"/>
      <c r="FK28" s="60"/>
      <c r="FL28" s="99"/>
      <c r="FN28" s="163"/>
      <c r="FO28" s="161"/>
      <c r="FP28" s="63"/>
      <c r="FQ28" s="64"/>
      <c r="FR28" s="62"/>
      <c r="FS28" s="50"/>
      <c r="FT28" s="29"/>
      <c r="FU28" s="10"/>
      <c r="FV28" s="158"/>
      <c r="FW28" s="11"/>
      <c r="FX28" s="11"/>
      <c r="FY28" s="11"/>
      <c r="FZ28" s="12"/>
      <c r="GA28" s="12"/>
      <c r="GB28" s="12"/>
      <c r="GC28" s="12"/>
      <c r="GD28" s="12"/>
      <c r="GE28" s="152"/>
      <c r="GF28" s="152"/>
      <c r="GG28" s="61"/>
      <c r="GH28" s="13"/>
      <c r="GI28" s="13"/>
      <c r="GJ28" s="13"/>
      <c r="GK28" s="60"/>
      <c r="GL28" s="99"/>
      <c r="GN28" s="163"/>
      <c r="GO28" s="161"/>
      <c r="GP28" s="63"/>
      <c r="GQ28" s="64"/>
      <c r="GR28" s="62"/>
      <c r="GS28" s="50"/>
      <c r="GT28" s="29"/>
      <c r="GU28" s="10"/>
      <c r="GV28" s="158"/>
      <c r="GW28" s="11"/>
      <c r="GX28" s="11"/>
      <c r="GY28" s="11"/>
      <c r="GZ28" s="12"/>
      <c r="HA28" s="12"/>
      <c r="HB28" s="12"/>
      <c r="HC28" s="12"/>
      <c r="HD28" s="12"/>
      <c r="HE28" s="152"/>
      <c r="HF28" s="152"/>
      <c r="HG28" s="61"/>
      <c r="HH28" s="13"/>
      <c r="HI28" s="13"/>
      <c r="HJ28" s="13"/>
      <c r="HK28" s="60"/>
      <c r="HL28" s="99"/>
      <c r="HN28" s="163"/>
      <c r="HO28" s="161"/>
      <c r="HP28" s="63"/>
      <c r="HQ28" s="64"/>
      <c r="HR28" s="62"/>
      <c r="HS28" s="50"/>
      <c r="HT28" s="29"/>
      <c r="HU28" s="10"/>
      <c r="HV28" s="158"/>
      <c r="HW28" s="11"/>
      <c r="HX28" s="11"/>
      <c r="HY28" s="11"/>
      <c r="HZ28" s="12"/>
      <c r="IA28" s="12"/>
      <c r="IB28" s="12"/>
      <c r="IC28" s="12"/>
      <c r="ID28" s="12"/>
      <c r="IE28" s="152"/>
      <c r="IF28" s="152"/>
      <c r="IG28" s="61"/>
      <c r="IH28" s="13"/>
      <c r="II28" s="13"/>
      <c r="IJ28" s="13"/>
      <c r="IK28" s="60"/>
      <c r="IL28" s="99"/>
      <c r="IN28" s="163"/>
      <c r="IO28" s="161"/>
      <c r="IP28" s="63"/>
      <c r="IQ28" s="64"/>
      <c r="IR28" s="62"/>
      <c r="IS28" s="50"/>
      <c r="IT28" s="29"/>
      <c r="IU28" s="10"/>
      <c r="IV28" s="158"/>
      <c r="IW28" s="11"/>
      <c r="IX28" s="11"/>
      <c r="IY28" s="11"/>
      <c r="IZ28" s="12"/>
      <c r="JA28" s="12"/>
      <c r="JB28" s="12"/>
      <c r="JC28" s="12"/>
      <c r="JD28" s="12"/>
      <c r="JE28" s="152"/>
      <c r="JF28" s="152"/>
      <c r="JG28" s="61"/>
      <c r="JH28" s="13"/>
      <c r="JI28" s="13"/>
      <c r="JJ28" s="13"/>
      <c r="JK28" s="60"/>
      <c r="JL28" s="99"/>
      <c r="JN28" s="163"/>
      <c r="JO28" s="161"/>
      <c r="JP28" s="63"/>
      <c r="JQ28" s="64"/>
      <c r="JR28" s="62"/>
      <c r="JS28" s="50"/>
      <c r="JT28" s="29"/>
      <c r="JU28" s="10"/>
      <c r="JV28" s="158"/>
      <c r="JW28" s="11"/>
      <c r="JX28" s="11"/>
      <c r="JY28" s="11"/>
      <c r="JZ28" s="12"/>
      <c r="KA28" s="12"/>
      <c r="KB28" s="12"/>
      <c r="KC28" s="12"/>
      <c r="KD28" s="12"/>
      <c r="KE28" s="152"/>
      <c r="KF28" s="152"/>
      <c r="KG28" s="61"/>
      <c r="KH28" s="13"/>
      <c r="KI28" s="13"/>
      <c r="KJ28" s="13"/>
      <c r="KK28" s="60"/>
      <c r="KL28" s="99"/>
      <c r="KN28" s="163"/>
      <c r="KO28" s="161"/>
      <c r="KP28" s="63"/>
      <c r="KQ28" s="64"/>
      <c r="KR28" s="62"/>
      <c r="KS28" s="50"/>
      <c r="KT28" s="29"/>
      <c r="KU28" s="10"/>
      <c r="KV28" s="158"/>
      <c r="KW28" s="11"/>
      <c r="KX28" s="11"/>
      <c r="KY28" s="11"/>
      <c r="KZ28" s="12"/>
      <c r="LA28" s="12"/>
      <c r="LB28" s="12"/>
      <c r="LC28" s="12"/>
      <c r="LD28" s="12"/>
      <c r="LE28" s="152"/>
      <c r="LF28" s="152"/>
      <c r="LG28" s="61"/>
      <c r="LH28" s="13"/>
      <c r="LI28" s="13"/>
      <c r="LJ28" s="13"/>
      <c r="LK28" s="60"/>
      <c r="LL28" s="99"/>
      <c r="LO28" s="238"/>
    </row>
    <row r="29" spans="1:327" ht="15" thickBot="1" x14ac:dyDescent="0.4">
      <c r="A29" s="52"/>
      <c r="B29" s="69"/>
      <c r="C29" s="73"/>
      <c r="D29" s="55"/>
      <c r="E29" s="282"/>
      <c r="F29" s="56"/>
      <c r="G29" s="57"/>
      <c r="H29" s="59"/>
      <c r="I29" s="54"/>
      <c r="J29" s="59"/>
      <c r="K29" s="55"/>
      <c r="L29" s="67"/>
      <c r="M29" s="164"/>
      <c r="N29" s="163"/>
      <c r="O29" s="166"/>
      <c r="P29" s="167"/>
      <c r="Q29" s="163"/>
      <c r="R29" s="169"/>
      <c r="S29" s="170"/>
      <c r="T29" s="171"/>
      <c r="U29" s="172"/>
      <c r="V29" s="173"/>
      <c r="W29" s="174"/>
      <c r="X29" s="174"/>
      <c r="Y29" s="174"/>
      <c r="Z29" s="175"/>
      <c r="AA29" s="175"/>
      <c r="AB29" s="175"/>
      <c r="AC29" s="175"/>
      <c r="AD29" s="175"/>
      <c r="AE29" s="176"/>
      <c r="AF29" s="176"/>
      <c r="AG29" s="61"/>
      <c r="AH29" s="177"/>
      <c r="AI29" s="177"/>
      <c r="AJ29" s="177"/>
      <c r="AK29" s="178"/>
      <c r="AL29" s="179"/>
      <c r="AN29" s="165"/>
      <c r="AO29" s="166"/>
      <c r="AP29" s="167"/>
      <c r="AQ29" s="168"/>
      <c r="AR29" s="169"/>
      <c r="AS29" s="170"/>
      <c r="AT29" s="171"/>
      <c r="AU29" s="172"/>
      <c r="AV29" s="173"/>
      <c r="AW29" s="11"/>
      <c r="AX29" s="11"/>
      <c r="AY29" s="11"/>
      <c r="AZ29" s="12"/>
      <c r="BA29" s="12"/>
      <c r="BB29" s="12"/>
      <c r="BC29" s="12"/>
      <c r="BD29" s="12"/>
      <c r="BE29" s="152"/>
      <c r="BF29" s="152"/>
      <c r="BG29" s="61"/>
      <c r="BH29" s="13"/>
      <c r="BI29" s="13"/>
      <c r="BJ29" s="13"/>
      <c r="BK29" s="60"/>
      <c r="BL29" s="99"/>
      <c r="BM29" s="14"/>
      <c r="BN29" s="163"/>
      <c r="BO29" s="166"/>
      <c r="BP29" s="167"/>
      <c r="BQ29" s="64"/>
      <c r="BR29" s="169"/>
      <c r="BS29" s="170"/>
      <c r="BT29" s="171"/>
      <c r="BU29" s="172"/>
      <c r="BV29" s="173"/>
      <c r="BW29" s="11"/>
      <c r="BX29" s="11"/>
      <c r="BY29" s="11"/>
      <c r="BZ29" s="12"/>
      <c r="CA29" s="12"/>
      <c r="CB29" s="12"/>
      <c r="CC29" s="12"/>
      <c r="CD29" s="12"/>
      <c r="CE29" s="152"/>
      <c r="CF29" s="152"/>
      <c r="CG29" s="61"/>
      <c r="CH29" s="13"/>
      <c r="CI29" s="13"/>
      <c r="CJ29" s="13"/>
      <c r="CK29" s="60"/>
      <c r="CL29" s="99"/>
      <c r="CN29" s="165"/>
      <c r="CO29" s="166"/>
      <c r="CP29" s="167"/>
      <c r="CQ29" s="168"/>
      <c r="CR29" s="169"/>
      <c r="CS29" s="170"/>
      <c r="CT29" s="171"/>
      <c r="CU29" s="172"/>
      <c r="CV29" s="173"/>
      <c r="CW29" s="11"/>
      <c r="CX29" s="11"/>
      <c r="CY29" s="11"/>
      <c r="CZ29" s="12"/>
      <c r="DA29" s="12"/>
      <c r="DB29" s="12"/>
      <c r="DC29" s="12"/>
      <c r="DD29" s="12"/>
      <c r="DE29" s="152"/>
      <c r="DF29" s="152"/>
      <c r="DG29" s="61"/>
      <c r="DH29" s="13"/>
      <c r="DI29" s="13"/>
      <c r="DJ29" s="13"/>
      <c r="DK29" s="60"/>
      <c r="DL29" s="99"/>
      <c r="DN29" s="165"/>
      <c r="DO29" s="166"/>
      <c r="DP29" s="167"/>
      <c r="DQ29" s="168"/>
      <c r="DR29" s="169"/>
      <c r="DS29" s="170"/>
      <c r="DT29" s="171"/>
      <c r="DU29" s="172"/>
      <c r="DV29" s="173"/>
      <c r="DW29" s="11"/>
      <c r="DX29" s="11"/>
      <c r="DY29" s="11"/>
      <c r="DZ29" s="12"/>
      <c r="EA29" s="12"/>
      <c r="EB29" s="12"/>
      <c r="EC29" s="12"/>
      <c r="ED29" s="12"/>
      <c r="EE29" s="152"/>
      <c r="EF29" s="152"/>
      <c r="EG29" s="61"/>
      <c r="EH29" s="13"/>
      <c r="EI29" s="13"/>
      <c r="EJ29" s="13"/>
      <c r="EK29" s="60"/>
      <c r="EL29" s="99"/>
      <c r="EN29" s="165"/>
      <c r="EO29" s="166"/>
      <c r="EP29" s="167"/>
      <c r="EQ29" s="168"/>
      <c r="ER29" s="169"/>
      <c r="ES29" s="170"/>
      <c r="ET29" s="171"/>
      <c r="EU29" s="172"/>
      <c r="EV29" s="173"/>
      <c r="EW29" s="11"/>
      <c r="EX29" s="11"/>
      <c r="EY29" s="11"/>
      <c r="EZ29" s="12"/>
      <c r="FA29" s="12"/>
      <c r="FB29" s="12"/>
      <c r="FC29" s="12"/>
      <c r="FD29" s="12"/>
      <c r="FE29" s="152"/>
      <c r="FF29" s="152"/>
      <c r="FG29" s="61"/>
      <c r="FH29" s="13"/>
      <c r="FI29" s="13"/>
      <c r="FJ29" s="13"/>
      <c r="FK29" s="60"/>
      <c r="FL29" s="99"/>
      <c r="FN29" s="165"/>
      <c r="FO29" s="166"/>
      <c r="FP29" s="167"/>
      <c r="FQ29" s="168"/>
      <c r="FR29" s="169"/>
      <c r="FS29" s="170"/>
      <c r="FT29" s="171"/>
      <c r="FU29" s="172"/>
      <c r="FV29" s="173"/>
      <c r="FW29" s="11"/>
      <c r="FX29" s="11"/>
      <c r="FY29" s="11"/>
      <c r="FZ29" s="12"/>
      <c r="GA29" s="12"/>
      <c r="GB29" s="12"/>
      <c r="GC29" s="12"/>
      <c r="GD29" s="12"/>
      <c r="GE29" s="152"/>
      <c r="GF29" s="152"/>
      <c r="GG29" s="61"/>
      <c r="GH29" s="13"/>
      <c r="GI29" s="13"/>
      <c r="GJ29" s="13"/>
      <c r="GK29" s="60"/>
      <c r="GL29" s="99"/>
      <c r="GN29" s="165"/>
      <c r="GO29" s="166"/>
      <c r="GP29" s="167"/>
      <c r="GQ29" s="168"/>
      <c r="GR29" s="169"/>
      <c r="GS29" s="170"/>
      <c r="GT29" s="171"/>
      <c r="GU29" s="172"/>
      <c r="GV29" s="173"/>
      <c r="GW29" s="11"/>
      <c r="GX29" s="11"/>
      <c r="GY29" s="11"/>
      <c r="GZ29" s="12"/>
      <c r="HA29" s="12"/>
      <c r="HB29" s="12"/>
      <c r="HC29" s="12"/>
      <c r="HD29" s="12"/>
      <c r="HE29" s="152"/>
      <c r="HF29" s="152"/>
      <c r="HG29" s="61"/>
      <c r="HH29" s="13"/>
      <c r="HI29" s="13"/>
      <c r="HJ29" s="13"/>
      <c r="HK29" s="60"/>
      <c r="HL29" s="99"/>
      <c r="HN29" s="165"/>
      <c r="HO29" s="166"/>
      <c r="HP29" s="167"/>
      <c r="HQ29" s="168"/>
      <c r="HR29" s="169"/>
      <c r="HS29" s="170"/>
      <c r="HT29" s="171"/>
      <c r="HU29" s="172"/>
      <c r="HV29" s="173"/>
      <c r="HW29" s="11"/>
      <c r="HX29" s="11"/>
      <c r="HY29" s="11"/>
      <c r="HZ29" s="12"/>
      <c r="IA29" s="12"/>
      <c r="IB29" s="12"/>
      <c r="IC29" s="12"/>
      <c r="ID29" s="12"/>
      <c r="IE29" s="152"/>
      <c r="IF29" s="152"/>
      <c r="IG29" s="61"/>
      <c r="IH29" s="13"/>
      <c r="II29" s="13"/>
      <c r="IJ29" s="13"/>
      <c r="IK29" s="60"/>
      <c r="IL29" s="99"/>
      <c r="IN29" s="165"/>
      <c r="IO29" s="166"/>
      <c r="IP29" s="167"/>
      <c r="IQ29" s="168"/>
      <c r="IR29" s="169"/>
      <c r="IS29" s="170"/>
      <c r="IT29" s="171"/>
      <c r="IU29" s="172"/>
      <c r="IV29" s="173"/>
      <c r="IW29" s="11"/>
      <c r="IX29" s="11"/>
      <c r="IY29" s="11"/>
      <c r="IZ29" s="12"/>
      <c r="JA29" s="12"/>
      <c r="JB29" s="12"/>
      <c r="JC29" s="12"/>
      <c r="JD29" s="12"/>
      <c r="JE29" s="152"/>
      <c r="JF29" s="152"/>
      <c r="JG29" s="61"/>
      <c r="JH29" s="13"/>
      <c r="JI29" s="13"/>
      <c r="JJ29" s="13"/>
      <c r="JK29" s="60"/>
      <c r="JL29" s="99"/>
      <c r="JN29" s="165"/>
      <c r="JO29" s="166"/>
      <c r="JP29" s="167"/>
      <c r="JQ29" s="168"/>
      <c r="JR29" s="169"/>
      <c r="JS29" s="170"/>
      <c r="JT29" s="171"/>
      <c r="JU29" s="172"/>
      <c r="JV29" s="173"/>
      <c r="JW29" s="11"/>
      <c r="JX29" s="11"/>
      <c r="JY29" s="11"/>
      <c r="JZ29" s="12"/>
      <c r="KA29" s="12"/>
      <c r="KB29" s="12"/>
      <c r="KC29" s="12"/>
      <c r="KD29" s="12"/>
      <c r="KE29" s="152"/>
      <c r="KF29" s="152"/>
      <c r="KG29" s="61"/>
      <c r="KH29" s="13"/>
      <c r="KI29" s="13"/>
      <c r="KJ29" s="13"/>
      <c r="KK29" s="60"/>
      <c r="KL29" s="99"/>
      <c r="KN29" s="165"/>
      <c r="KO29" s="166"/>
      <c r="KP29" s="167"/>
      <c r="KQ29" s="168"/>
      <c r="KR29" s="169"/>
      <c r="KS29" s="170"/>
      <c r="KT29" s="171"/>
      <c r="KU29" s="172"/>
      <c r="KV29" s="173"/>
      <c r="KW29" s="11"/>
      <c r="KX29" s="11"/>
      <c r="KY29" s="11"/>
      <c r="KZ29" s="12"/>
      <c r="LA29" s="12"/>
      <c r="LB29" s="12"/>
      <c r="LC29" s="12"/>
      <c r="LD29" s="12"/>
      <c r="LE29" s="152"/>
      <c r="LF29" s="152"/>
      <c r="LG29" s="61"/>
      <c r="LH29" s="13"/>
      <c r="LI29" s="13"/>
      <c r="LJ29" s="13"/>
      <c r="LK29" s="60"/>
      <c r="LL29" s="99"/>
      <c r="LO29" s="238"/>
    </row>
    <row r="30" spans="1:327" ht="15.5" thickTop="1" thickBot="1" x14ac:dyDescent="0.4">
      <c r="A30" s="52"/>
      <c r="B30" s="69"/>
      <c r="C30" s="73"/>
      <c r="D30" s="55"/>
      <c r="E30" s="282"/>
      <c r="F30" s="56"/>
      <c r="G30" s="57"/>
      <c r="H30" s="59"/>
      <c r="I30" s="54"/>
      <c r="J30" s="59"/>
      <c r="K30" s="55"/>
      <c r="L30" s="67"/>
      <c r="M30" s="164"/>
      <c r="N30" s="163"/>
      <c r="O30" s="166"/>
      <c r="P30" s="167"/>
      <c r="Q30" s="163"/>
      <c r="R30" s="169"/>
      <c r="S30" s="170"/>
      <c r="T30" s="171"/>
      <c r="U30" s="172"/>
      <c r="V30" s="173"/>
      <c r="W30" s="174"/>
      <c r="X30" s="174"/>
      <c r="Y30" s="174"/>
      <c r="Z30" s="175"/>
      <c r="AA30" s="175"/>
      <c r="AB30" s="175"/>
      <c r="AC30" s="175"/>
      <c r="AD30" s="175"/>
      <c r="AE30" s="176"/>
      <c r="AF30" s="176"/>
      <c r="AG30" s="61"/>
      <c r="AH30" s="177"/>
      <c r="AI30" s="177"/>
      <c r="AJ30" s="177"/>
      <c r="AK30" s="178"/>
      <c r="AL30" s="179"/>
      <c r="AN30" s="165"/>
      <c r="AO30" s="166"/>
      <c r="AP30" s="167"/>
      <c r="AQ30" s="168"/>
      <c r="AR30" s="169"/>
      <c r="AS30" s="170"/>
      <c r="AT30" s="171"/>
      <c r="AU30" s="172"/>
      <c r="AV30" s="173"/>
      <c r="AW30" s="11"/>
      <c r="AX30" s="11"/>
      <c r="AY30" s="11"/>
      <c r="AZ30" s="12"/>
      <c r="BA30" s="12"/>
      <c r="BB30" s="12"/>
      <c r="BC30" s="12"/>
      <c r="BD30" s="12"/>
      <c r="BE30" s="152"/>
      <c r="BF30" s="152"/>
      <c r="BG30" s="61"/>
      <c r="BH30" s="13"/>
      <c r="BI30" s="13"/>
      <c r="BJ30" s="13"/>
      <c r="BK30" s="60"/>
      <c r="BL30" s="99"/>
      <c r="BM30" s="14"/>
      <c r="BN30" s="163"/>
      <c r="BO30" s="166"/>
      <c r="BP30" s="167"/>
      <c r="BQ30" s="64"/>
      <c r="BR30" s="169"/>
      <c r="BS30" s="170"/>
      <c r="BT30" s="171"/>
      <c r="BU30" s="172"/>
      <c r="BV30" s="173"/>
      <c r="BW30" s="11"/>
      <c r="BX30" s="11"/>
      <c r="BY30" s="11"/>
      <c r="BZ30" s="12"/>
      <c r="CA30" s="12"/>
      <c r="CB30" s="12"/>
      <c r="CC30" s="12"/>
      <c r="CD30" s="12"/>
      <c r="CE30" s="152"/>
      <c r="CF30" s="152"/>
      <c r="CG30" s="61"/>
      <c r="CH30" s="13"/>
      <c r="CI30" s="13"/>
      <c r="CJ30" s="13"/>
      <c r="CK30" s="60"/>
      <c r="CL30" s="99"/>
      <c r="CN30" s="165"/>
      <c r="CO30" s="166"/>
      <c r="CP30" s="167"/>
      <c r="CQ30" s="168"/>
      <c r="CR30" s="169"/>
      <c r="CS30" s="170"/>
      <c r="CT30" s="171"/>
      <c r="CU30" s="172"/>
      <c r="CV30" s="173"/>
      <c r="CW30" s="11"/>
      <c r="CX30" s="11"/>
      <c r="CY30" s="11"/>
      <c r="CZ30" s="12"/>
      <c r="DA30" s="12"/>
      <c r="DB30" s="12"/>
      <c r="DC30" s="12"/>
      <c r="DD30" s="12"/>
      <c r="DE30" s="152"/>
      <c r="DF30" s="152"/>
      <c r="DG30" s="61"/>
      <c r="DH30" s="13"/>
      <c r="DI30" s="13"/>
      <c r="DJ30" s="13"/>
      <c r="DK30" s="60"/>
      <c r="DL30" s="99"/>
      <c r="DN30" s="165"/>
      <c r="DO30" s="166"/>
      <c r="DP30" s="167"/>
      <c r="DQ30" s="168"/>
      <c r="DR30" s="169"/>
      <c r="DS30" s="170"/>
      <c r="DT30" s="171"/>
      <c r="DU30" s="172"/>
      <c r="DV30" s="173"/>
      <c r="DW30" s="11"/>
      <c r="DX30" s="11"/>
      <c r="DY30" s="11"/>
      <c r="DZ30" s="12"/>
      <c r="EA30" s="12"/>
      <c r="EB30" s="12"/>
      <c r="EC30" s="12"/>
      <c r="ED30" s="12"/>
      <c r="EE30" s="152"/>
      <c r="EF30" s="152"/>
      <c r="EG30" s="61"/>
      <c r="EH30" s="13"/>
      <c r="EI30" s="13"/>
      <c r="EJ30" s="13"/>
      <c r="EK30" s="60"/>
      <c r="EL30" s="99"/>
      <c r="EN30" s="165"/>
      <c r="EO30" s="166"/>
      <c r="EP30" s="167"/>
      <c r="EQ30" s="168"/>
      <c r="ER30" s="169"/>
      <c r="ES30" s="170"/>
      <c r="ET30" s="171"/>
      <c r="EU30" s="172"/>
      <c r="EV30" s="173"/>
      <c r="EW30" s="11"/>
      <c r="EX30" s="11"/>
      <c r="EY30" s="11"/>
      <c r="EZ30" s="12"/>
      <c r="FA30" s="12"/>
      <c r="FB30" s="12"/>
      <c r="FC30" s="12"/>
      <c r="FD30" s="12"/>
      <c r="FE30" s="152"/>
      <c r="FF30" s="152"/>
      <c r="FG30" s="61"/>
      <c r="FH30" s="13"/>
      <c r="FI30" s="13"/>
      <c r="FJ30" s="13"/>
      <c r="FK30" s="60"/>
      <c r="FL30" s="99"/>
      <c r="FN30" s="165"/>
      <c r="FO30" s="166"/>
      <c r="FP30" s="167"/>
      <c r="FQ30" s="168"/>
      <c r="FR30" s="169"/>
      <c r="FS30" s="170"/>
      <c r="FT30" s="171"/>
      <c r="FU30" s="172"/>
      <c r="FV30" s="173"/>
      <c r="FW30" s="11"/>
      <c r="FX30" s="11"/>
      <c r="FY30" s="11"/>
      <c r="FZ30" s="12"/>
      <c r="GA30" s="12"/>
      <c r="GB30" s="12"/>
      <c r="GC30" s="12"/>
      <c r="GD30" s="12"/>
      <c r="GE30" s="152"/>
      <c r="GF30" s="152"/>
      <c r="GG30" s="61"/>
      <c r="GH30" s="13"/>
      <c r="GI30" s="13"/>
      <c r="GJ30" s="13"/>
      <c r="GK30" s="60"/>
      <c r="GL30" s="99"/>
      <c r="GN30" s="165"/>
      <c r="GO30" s="166"/>
      <c r="GP30" s="167"/>
      <c r="GQ30" s="168"/>
      <c r="GR30" s="169"/>
      <c r="GS30" s="170"/>
      <c r="GT30" s="171"/>
      <c r="GU30" s="172"/>
      <c r="GV30" s="173"/>
      <c r="GW30" s="11"/>
      <c r="GX30" s="11"/>
      <c r="GY30" s="11"/>
      <c r="GZ30" s="12"/>
      <c r="HA30" s="12"/>
      <c r="HB30" s="12"/>
      <c r="HC30" s="12"/>
      <c r="HD30" s="12"/>
      <c r="HE30" s="152"/>
      <c r="HF30" s="152"/>
      <c r="HG30" s="61"/>
      <c r="HH30" s="13"/>
      <c r="HI30" s="13"/>
      <c r="HJ30" s="13"/>
      <c r="HK30" s="60"/>
      <c r="HL30" s="99"/>
      <c r="HN30" s="165"/>
      <c r="HO30" s="166"/>
      <c r="HP30" s="167"/>
      <c r="HQ30" s="168"/>
      <c r="HR30" s="169"/>
      <c r="HS30" s="170"/>
      <c r="HT30" s="171"/>
      <c r="HU30" s="172"/>
      <c r="HV30" s="173"/>
      <c r="HW30" s="11"/>
      <c r="HX30" s="11"/>
      <c r="HY30" s="11"/>
      <c r="HZ30" s="12"/>
      <c r="IA30" s="12"/>
      <c r="IB30" s="12"/>
      <c r="IC30" s="12"/>
      <c r="ID30" s="12"/>
      <c r="IE30" s="152"/>
      <c r="IF30" s="152"/>
      <c r="IG30" s="61"/>
      <c r="IH30" s="13"/>
      <c r="II30" s="13"/>
      <c r="IJ30" s="13"/>
      <c r="IK30" s="60"/>
      <c r="IL30" s="99"/>
      <c r="IN30" s="165"/>
      <c r="IO30" s="166"/>
      <c r="IP30" s="167"/>
      <c r="IQ30" s="168"/>
      <c r="IR30" s="169"/>
      <c r="IS30" s="170"/>
      <c r="IT30" s="171"/>
      <c r="IU30" s="172"/>
      <c r="IV30" s="173"/>
      <c r="IW30" s="11"/>
      <c r="IX30" s="11"/>
      <c r="IY30" s="11"/>
      <c r="IZ30" s="12"/>
      <c r="JA30" s="12"/>
      <c r="JB30" s="12"/>
      <c r="JC30" s="12"/>
      <c r="JD30" s="12"/>
      <c r="JE30" s="152"/>
      <c r="JF30" s="152"/>
      <c r="JG30" s="61"/>
      <c r="JH30" s="13"/>
      <c r="JI30" s="13"/>
      <c r="JJ30" s="13"/>
      <c r="JK30" s="60"/>
      <c r="JL30" s="99"/>
      <c r="JN30" s="165"/>
      <c r="JO30" s="166"/>
      <c r="JP30" s="167"/>
      <c r="JQ30" s="168"/>
      <c r="JR30" s="169"/>
      <c r="JS30" s="170"/>
      <c r="JT30" s="171"/>
      <c r="JU30" s="172"/>
      <c r="JV30" s="173"/>
      <c r="JW30" s="11"/>
      <c r="JX30" s="11"/>
      <c r="JY30" s="11"/>
      <c r="JZ30" s="12"/>
      <c r="KA30" s="12"/>
      <c r="KB30" s="12"/>
      <c r="KC30" s="12"/>
      <c r="KD30" s="12"/>
      <c r="KE30" s="152"/>
      <c r="KF30" s="152"/>
      <c r="KG30" s="61"/>
      <c r="KH30" s="13"/>
      <c r="KI30" s="13"/>
      <c r="KJ30" s="13"/>
      <c r="KK30" s="60"/>
      <c r="KL30" s="99"/>
      <c r="KN30" s="165"/>
      <c r="KO30" s="166"/>
      <c r="KP30" s="167"/>
      <c r="KQ30" s="168"/>
      <c r="KR30" s="169"/>
      <c r="KS30" s="170"/>
      <c r="KT30" s="171"/>
      <c r="KU30" s="172"/>
      <c r="KV30" s="173"/>
      <c r="KW30" s="11"/>
      <c r="KX30" s="11"/>
      <c r="KY30" s="11"/>
      <c r="KZ30" s="12"/>
      <c r="LA30" s="12"/>
      <c r="LB30" s="12"/>
      <c r="LC30" s="12"/>
      <c r="LD30" s="12"/>
      <c r="LE30" s="152"/>
      <c r="LF30" s="152"/>
      <c r="LG30" s="61"/>
      <c r="LH30" s="13"/>
      <c r="LI30" s="13"/>
      <c r="LJ30" s="13"/>
      <c r="LK30" s="60"/>
      <c r="LL30" s="99"/>
      <c r="LO30" s="238"/>
    </row>
    <row r="31" spans="1:327" ht="15" thickTop="1" x14ac:dyDescent="0.35">
      <c r="A31" s="52"/>
      <c r="B31" s="69"/>
      <c r="C31" s="73"/>
      <c r="D31" s="55"/>
      <c r="E31" s="282"/>
      <c r="F31" s="56"/>
      <c r="G31" s="57"/>
      <c r="H31" s="59"/>
      <c r="I31" s="54"/>
      <c r="J31" s="59"/>
      <c r="K31" s="55"/>
      <c r="L31" s="67"/>
      <c r="M31" s="164"/>
      <c r="N31" s="163"/>
      <c r="O31" s="161"/>
      <c r="P31" s="63"/>
      <c r="Q31" s="163"/>
      <c r="R31" s="62"/>
      <c r="S31" s="50"/>
      <c r="T31" s="29"/>
      <c r="U31" s="10"/>
      <c r="V31" s="158"/>
      <c r="W31" s="11"/>
      <c r="X31" s="11"/>
      <c r="Y31" s="11"/>
      <c r="Z31" s="12"/>
      <c r="AA31" s="12"/>
      <c r="AB31" s="12"/>
      <c r="AC31" s="12"/>
      <c r="AD31" s="12"/>
      <c r="AE31" s="152"/>
      <c r="AF31" s="152"/>
      <c r="AG31" s="61"/>
      <c r="AH31" s="13"/>
      <c r="AI31" s="13"/>
      <c r="AJ31" s="13"/>
      <c r="AK31" s="60"/>
      <c r="AL31" s="99"/>
      <c r="AN31" s="163"/>
      <c r="AO31" s="161"/>
      <c r="AP31" s="63"/>
      <c r="AQ31" s="64"/>
      <c r="AR31" s="62"/>
      <c r="AS31" s="50"/>
      <c r="AT31" s="29"/>
      <c r="AU31" s="10"/>
      <c r="AV31" s="158"/>
      <c r="AW31" s="11"/>
      <c r="AX31" s="11"/>
      <c r="AY31" s="11"/>
      <c r="AZ31" s="12"/>
      <c r="BA31" s="12"/>
      <c r="BB31" s="12"/>
      <c r="BC31" s="12"/>
      <c r="BD31" s="12"/>
      <c r="BE31" s="152"/>
      <c r="BF31" s="152"/>
      <c r="BG31" s="61"/>
      <c r="BH31" s="13"/>
      <c r="BI31" s="13"/>
      <c r="BJ31" s="13"/>
      <c r="BK31" s="60"/>
      <c r="BL31" s="99"/>
      <c r="BM31" s="14"/>
      <c r="BN31" s="163"/>
      <c r="BO31" s="161"/>
      <c r="BP31" s="63"/>
      <c r="BQ31" s="64"/>
      <c r="BR31" s="62"/>
      <c r="BS31" s="50"/>
      <c r="BT31" s="29"/>
      <c r="BU31" s="10"/>
      <c r="BV31" s="158"/>
      <c r="BW31" s="11"/>
      <c r="BX31" s="11"/>
      <c r="BY31" s="11"/>
      <c r="BZ31" s="12"/>
      <c r="CA31" s="12"/>
      <c r="CB31" s="12"/>
      <c r="CC31" s="12"/>
      <c r="CD31" s="12"/>
      <c r="CE31" s="152"/>
      <c r="CF31" s="152"/>
      <c r="CG31" s="61"/>
      <c r="CH31" s="13"/>
      <c r="CI31" s="13"/>
      <c r="CJ31" s="13"/>
      <c r="CK31" s="60"/>
      <c r="CL31" s="99"/>
      <c r="CN31" s="163"/>
      <c r="CO31" s="161"/>
      <c r="CP31" s="63"/>
      <c r="CQ31" s="64"/>
      <c r="CR31" s="62"/>
      <c r="CS31" s="50"/>
      <c r="CT31" s="29"/>
      <c r="CU31" s="10"/>
      <c r="CV31" s="158"/>
      <c r="CW31" s="11"/>
      <c r="CX31" s="11"/>
      <c r="CY31" s="11"/>
      <c r="CZ31" s="12"/>
      <c r="DA31" s="12"/>
      <c r="DB31" s="12"/>
      <c r="DC31" s="12"/>
      <c r="DD31" s="12"/>
      <c r="DE31" s="152"/>
      <c r="DF31" s="152"/>
      <c r="DG31" s="61"/>
      <c r="DH31" s="13"/>
      <c r="DI31" s="13"/>
      <c r="DJ31" s="13"/>
      <c r="DK31" s="60"/>
      <c r="DL31" s="99"/>
      <c r="DN31" s="163"/>
      <c r="DO31" s="161"/>
      <c r="DP31" s="63"/>
      <c r="DQ31" s="64"/>
      <c r="DR31" s="62"/>
      <c r="DS31" s="50"/>
      <c r="DT31" s="29"/>
      <c r="DU31" s="10"/>
      <c r="DV31" s="158"/>
      <c r="DW31" s="11"/>
      <c r="DX31" s="11"/>
      <c r="DY31" s="11"/>
      <c r="DZ31" s="12"/>
      <c r="EA31" s="12"/>
      <c r="EB31" s="12"/>
      <c r="EC31" s="12"/>
      <c r="ED31" s="12"/>
      <c r="EE31" s="152"/>
      <c r="EF31" s="152"/>
      <c r="EG31" s="61"/>
      <c r="EH31" s="13"/>
      <c r="EI31" s="13"/>
      <c r="EJ31" s="13"/>
      <c r="EK31" s="60"/>
      <c r="EL31" s="99"/>
      <c r="EN31" s="163"/>
      <c r="EO31" s="161"/>
      <c r="EP31" s="63"/>
      <c r="EQ31" s="64"/>
      <c r="ER31" s="62"/>
      <c r="ES31" s="50"/>
      <c r="ET31" s="29"/>
      <c r="EU31" s="10"/>
      <c r="EV31" s="158"/>
      <c r="EW31" s="11"/>
      <c r="EX31" s="11"/>
      <c r="EY31" s="11"/>
      <c r="EZ31" s="12"/>
      <c r="FA31" s="12"/>
      <c r="FB31" s="12"/>
      <c r="FC31" s="12"/>
      <c r="FD31" s="12"/>
      <c r="FE31" s="152"/>
      <c r="FF31" s="152"/>
      <c r="FG31" s="61"/>
      <c r="FH31" s="13"/>
      <c r="FI31" s="13"/>
      <c r="FJ31" s="13"/>
      <c r="FK31" s="60"/>
      <c r="FL31" s="99"/>
      <c r="FN31" s="163"/>
      <c r="FO31" s="161"/>
      <c r="FP31" s="63"/>
      <c r="FQ31" s="64"/>
      <c r="FR31" s="62"/>
      <c r="FS31" s="50"/>
      <c r="FT31" s="29"/>
      <c r="FU31" s="10"/>
      <c r="FV31" s="158"/>
      <c r="FW31" s="11"/>
      <c r="FX31" s="11"/>
      <c r="FY31" s="11"/>
      <c r="FZ31" s="12"/>
      <c r="GA31" s="12"/>
      <c r="GB31" s="12"/>
      <c r="GC31" s="12"/>
      <c r="GD31" s="12"/>
      <c r="GE31" s="152"/>
      <c r="GF31" s="152"/>
      <c r="GG31" s="61"/>
      <c r="GH31" s="13"/>
      <c r="GI31" s="13"/>
      <c r="GJ31" s="13"/>
      <c r="GK31" s="60"/>
      <c r="GL31" s="99"/>
      <c r="GN31" s="163"/>
      <c r="GO31" s="161"/>
      <c r="GP31" s="63"/>
      <c r="GQ31" s="64"/>
      <c r="GR31" s="62"/>
      <c r="GS31" s="50"/>
      <c r="GT31" s="29"/>
      <c r="GU31" s="10"/>
      <c r="GV31" s="158"/>
      <c r="GW31" s="11"/>
      <c r="GX31" s="11"/>
      <c r="GY31" s="11"/>
      <c r="GZ31" s="12"/>
      <c r="HA31" s="12"/>
      <c r="HB31" s="12"/>
      <c r="HC31" s="12"/>
      <c r="HD31" s="12"/>
      <c r="HE31" s="152"/>
      <c r="HF31" s="152"/>
      <c r="HG31" s="61"/>
      <c r="HH31" s="13"/>
      <c r="HI31" s="13"/>
      <c r="HJ31" s="13"/>
      <c r="HK31" s="60"/>
      <c r="HL31" s="99"/>
      <c r="HN31" s="163"/>
      <c r="HO31" s="161"/>
      <c r="HP31" s="63"/>
      <c r="HQ31" s="64"/>
      <c r="HR31" s="62"/>
      <c r="HS31" s="50"/>
      <c r="HT31" s="29"/>
      <c r="HU31" s="10"/>
      <c r="HV31" s="158"/>
      <c r="HW31" s="11"/>
      <c r="HX31" s="11"/>
      <c r="HY31" s="11"/>
      <c r="HZ31" s="12"/>
      <c r="IA31" s="12"/>
      <c r="IB31" s="12"/>
      <c r="IC31" s="12"/>
      <c r="ID31" s="12"/>
      <c r="IE31" s="152"/>
      <c r="IF31" s="152"/>
      <c r="IG31" s="61"/>
      <c r="IH31" s="13"/>
      <c r="II31" s="13"/>
      <c r="IJ31" s="13"/>
      <c r="IK31" s="60"/>
      <c r="IL31" s="99"/>
      <c r="IN31" s="163"/>
      <c r="IO31" s="161"/>
      <c r="IP31" s="63"/>
      <c r="IQ31" s="64"/>
      <c r="IR31" s="62"/>
      <c r="IS31" s="50"/>
      <c r="IT31" s="29"/>
      <c r="IU31" s="10"/>
      <c r="IV31" s="158"/>
      <c r="IW31" s="11"/>
      <c r="IX31" s="11"/>
      <c r="IY31" s="11"/>
      <c r="IZ31" s="12"/>
      <c r="JA31" s="12"/>
      <c r="JB31" s="12"/>
      <c r="JC31" s="12"/>
      <c r="JD31" s="12"/>
      <c r="JE31" s="152"/>
      <c r="JF31" s="152"/>
      <c r="JG31" s="61"/>
      <c r="JH31" s="13"/>
      <c r="JI31" s="13"/>
      <c r="JJ31" s="13"/>
      <c r="JK31" s="60"/>
      <c r="JL31" s="99"/>
      <c r="JN31" s="163"/>
      <c r="JO31" s="161"/>
      <c r="JP31" s="63"/>
      <c r="JQ31" s="64"/>
      <c r="JR31" s="62"/>
      <c r="JS31" s="50"/>
      <c r="JT31" s="29"/>
      <c r="JU31" s="10"/>
      <c r="JV31" s="158"/>
      <c r="JW31" s="11"/>
      <c r="JX31" s="11"/>
      <c r="JY31" s="11"/>
      <c r="JZ31" s="12"/>
      <c r="KA31" s="12"/>
      <c r="KB31" s="12"/>
      <c r="KC31" s="12"/>
      <c r="KD31" s="12"/>
      <c r="KE31" s="152"/>
      <c r="KF31" s="152"/>
      <c r="KG31" s="61"/>
      <c r="KH31" s="13"/>
      <c r="KI31" s="13"/>
      <c r="KJ31" s="13"/>
      <c r="KK31" s="60"/>
      <c r="KL31" s="99"/>
      <c r="KN31" s="163"/>
      <c r="KO31" s="161"/>
      <c r="KP31" s="63"/>
      <c r="KQ31" s="64"/>
      <c r="KR31" s="62"/>
      <c r="KS31" s="50"/>
      <c r="KT31" s="29"/>
      <c r="KU31" s="10"/>
      <c r="KV31" s="158"/>
      <c r="KW31" s="11"/>
      <c r="KX31" s="11"/>
      <c r="KY31" s="11"/>
      <c r="KZ31" s="12"/>
      <c r="LA31" s="12"/>
      <c r="LB31" s="12"/>
      <c r="LC31" s="12"/>
      <c r="LD31" s="12"/>
      <c r="LE31" s="152"/>
      <c r="LF31" s="152"/>
      <c r="LG31" s="61"/>
      <c r="LH31" s="13"/>
      <c r="LI31" s="13"/>
      <c r="LJ31" s="13"/>
      <c r="LK31" s="60"/>
      <c r="LL31" s="99"/>
      <c r="LO31" s="238"/>
    </row>
    <row r="32" spans="1:327" x14ac:dyDescent="0.35">
      <c r="A32" s="52"/>
      <c r="B32" s="69"/>
      <c r="C32" s="73"/>
      <c r="D32" s="55"/>
      <c r="E32" s="282"/>
      <c r="F32" s="56"/>
      <c r="G32" s="57"/>
      <c r="H32" s="59"/>
      <c r="I32" s="54"/>
      <c r="J32" s="59"/>
      <c r="K32" s="55"/>
      <c r="L32" s="67"/>
      <c r="M32" s="164"/>
      <c r="N32" s="163"/>
      <c r="O32" s="161"/>
      <c r="P32" s="63"/>
      <c r="Q32" s="163"/>
      <c r="R32" s="62"/>
      <c r="S32" s="50"/>
      <c r="T32" s="29"/>
      <c r="U32" s="10"/>
      <c r="V32" s="158"/>
      <c r="W32" s="11"/>
      <c r="X32" s="11"/>
      <c r="Y32" s="11"/>
      <c r="Z32" s="12"/>
      <c r="AA32" s="12"/>
      <c r="AB32" s="12"/>
      <c r="AC32" s="12"/>
      <c r="AD32" s="12"/>
      <c r="AE32" s="152"/>
      <c r="AF32" s="152"/>
      <c r="AG32" s="61"/>
      <c r="AH32" s="13"/>
      <c r="AI32" s="13"/>
      <c r="AJ32" s="13"/>
      <c r="AK32" s="60"/>
      <c r="AL32" s="99"/>
      <c r="AN32" s="163"/>
      <c r="AO32" s="161"/>
      <c r="AP32" s="63"/>
      <c r="AQ32" s="64"/>
      <c r="AR32" s="62"/>
      <c r="AS32" s="50"/>
      <c r="AT32" s="29"/>
      <c r="AU32" s="10"/>
      <c r="AV32" s="158"/>
      <c r="AW32" s="11"/>
      <c r="AX32" s="11"/>
      <c r="AY32" s="11"/>
      <c r="AZ32" s="12"/>
      <c r="BA32" s="12"/>
      <c r="BB32" s="12"/>
      <c r="BC32" s="12"/>
      <c r="BD32" s="12"/>
      <c r="BE32" s="152"/>
      <c r="BF32" s="152"/>
      <c r="BG32" s="61"/>
      <c r="BH32" s="13"/>
      <c r="BI32" s="13"/>
      <c r="BJ32" s="13"/>
      <c r="BK32" s="60"/>
      <c r="BL32" s="99"/>
      <c r="BM32" s="14"/>
      <c r="BN32" s="163"/>
      <c r="BO32" s="161"/>
      <c r="BP32" s="63"/>
      <c r="BQ32" s="64"/>
      <c r="BR32" s="62"/>
      <c r="BS32" s="50"/>
      <c r="BT32" s="29"/>
      <c r="BU32" s="10"/>
      <c r="BV32" s="158"/>
      <c r="BW32" s="11"/>
      <c r="BX32" s="11"/>
      <c r="BY32" s="11"/>
      <c r="BZ32" s="12"/>
      <c r="CA32" s="12"/>
      <c r="CB32" s="12"/>
      <c r="CC32" s="12"/>
      <c r="CD32" s="12"/>
      <c r="CE32" s="152"/>
      <c r="CF32" s="152"/>
      <c r="CG32" s="61"/>
      <c r="CH32" s="13"/>
      <c r="CI32" s="13"/>
      <c r="CJ32" s="13"/>
      <c r="CK32" s="60"/>
      <c r="CL32" s="99"/>
      <c r="CN32" s="163"/>
      <c r="CO32" s="161"/>
      <c r="CP32" s="63"/>
      <c r="CQ32" s="64"/>
      <c r="CR32" s="62"/>
      <c r="CS32" s="50"/>
      <c r="CT32" s="29"/>
      <c r="CU32" s="10"/>
      <c r="CV32" s="158"/>
      <c r="CW32" s="11"/>
      <c r="CX32" s="11"/>
      <c r="CY32" s="11"/>
      <c r="CZ32" s="12"/>
      <c r="DA32" s="12"/>
      <c r="DB32" s="12"/>
      <c r="DC32" s="12"/>
      <c r="DD32" s="12"/>
      <c r="DE32" s="152"/>
      <c r="DF32" s="152"/>
      <c r="DG32" s="61"/>
      <c r="DH32" s="13"/>
      <c r="DI32" s="13"/>
      <c r="DJ32" s="13"/>
      <c r="DK32" s="60"/>
      <c r="DL32" s="99"/>
      <c r="DN32" s="163"/>
      <c r="DO32" s="161"/>
      <c r="DP32" s="63"/>
      <c r="DQ32" s="64"/>
      <c r="DR32" s="62"/>
      <c r="DS32" s="50"/>
      <c r="DT32" s="29"/>
      <c r="DU32" s="10"/>
      <c r="DV32" s="158"/>
      <c r="DW32" s="11"/>
      <c r="DX32" s="11"/>
      <c r="DY32" s="11"/>
      <c r="DZ32" s="12"/>
      <c r="EA32" s="12"/>
      <c r="EB32" s="12"/>
      <c r="EC32" s="12"/>
      <c r="ED32" s="12"/>
      <c r="EE32" s="152"/>
      <c r="EF32" s="152"/>
      <c r="EG32" s="61"/>
      <c r="EH32" s="13"/>
      <c r="EI32" s="13"/>
      <c r="EJ32" s="13"/>
      <c r="EK32" s="60"/>
      <c r="EL32" s="99"/>
      <c r="EN32" s="163"/>
      <c r="EO32" s="161"/>
      <c r="EP32" s="63"/>
      <c r="EQ32" s="64"/>
      <c r="ER32" s="62"/>
      <c r="ES32" s="50"/>
      <c r="ET32" s="29"/>
      <c r="EU32" s="10"/>
      <c r="EV32" s="158"/>
      <c r="EW32" s="11"/>
      <c r="EX32" s="11"/>
      <c r="EY32" s="11"/>
      <c r="EZ32" s="12"/>
      <c r="FA32" s="12"/>
      <c r="FB32" s="12"/>
      <c r="FC32" s="12"/>
      <c r="FD32" s="12"/>
      <c r="FE32" s="152"/>
      <c r="FF32" s="152"/>
      <c r="FG32" s="61"/>
      <c r="FH32" s="13"/>
      <c r="FI32" s="13"/>
      <c r="FJ32" s="13"/>
      <c r="FK32" s="60"/>
      <c r="FL32" s="99"/>
      <c r="FN32" s="163"/>
      <c r="FO32" s="161"/>
      <c r="FP32" s="63"/>
      <c r="FQ32" s="64"/>
      <c r="FR32" s="62"/>
      <c r="FS32" s="50"/>
      <c r="FT32" s="29"/>
      <c r="FU32" s="10"/>
      <c r="FV32" s="158"/>
      <c r="FW32" s="11"/>
      <c r="FX32" s="11"/>
      <c r="FY32" s="11"/>
      <c r="FZ32" s="12"/>
      <c r="GA32" s="12"/>
      <c r="GB32" s="12"/>
      <c r="GC32" s="12"/>
      <c r="GD32" s="12"/>
      <c r="GE32" s="152"/>
      <c r="GF32" s="152"/>
      <c r="GG32" s="61"/>
      <c r="GH32" s="13"/>
      <c r="GI32" s="13"/>
      <c r="GJ32" s="13"/>
      <c r="GK32" s="60"/>
      <c r="GL32" s="99"/>
      <c r="GN32" s="163"/>
      <c r="GO32" s="161"/>
      <c r="GP32" s="63"/>
      <c r="GQ32" s="64"/>
      <c r="GR32" s="62"/>
      <c r="GS32" s="50"/>
      <c r="GT32" s="29"/>
      <c r="GU32" s="10"/>
      <c r="GV32" s="158"/>
      <c r="GW32" s="11"/>
      <c r="GX32" s="11"/>
      <c r="GY32" s="11"/>
      <c r="GZ32" s="12"/>
      <c r="HA32" s="12"/>
      <c r="HB32" s="12"/>
      <c r="HC32" s="12"/>
      <c r="HD32" s="12"/>
      <c r="HE32" s="152"/>
      <c r="HF32" s="152"/>
      <c r="HG32" s="61"/>
      <c r="HH32" s="13"/>
      <c r="HI32" s="13"/>
      <c r="HJ32" s="13"/>
      <c r="HK32" s="60"/>
      <c r="HL32" s="99"/>
      <c r="HN32" s="163"/>
      <c r="HO32" s="161"/>
      <c r="HP32" s="63"/>
      <c r="HQ32" s="64"/>
      <c r="HR32" s="62"/>
      <c r="HS32" s="50"/>
      <c r="HT32" s="29"/>
      <c r="HU32" s="10"/>
      <c r="HV32" s="158"/>
      <c r="HW32" s="11"/>
      <c r="HX32" s="11"/>
      <c r="HY32" s="11"/>
      <c r="HZ32" s="12"/>
      <c r="IA32" s="12"/>
      <c r="IB32" s="12"/>
      <c r="IC32" s="12"/>
      <c r="ID32" s="12"/>
      <c r="IE32" s="152"/>
      <c r="IF32" s="152"/>
      <c r="IG32" s="61"/>
      <c r="IH32" s="13"/>
      <c r="II32" s="13"/>
      <c r="IJ32" s="13"/>
      <c r="IK32" s="60"/>
      <c r="IL32" s="99"/>
      <c r="IN32" s="163"/>
      <c r="IO32" s="161"/>
      <c r="IP32" s="63"/>
      <c r="IQ32" s="64"/>
      <c r="IR32" s="62"/>
      <c r="IS32" s="50"/>
      <c r="IT32" s="29"/>
      <c r="IU32" s="10"/>
      <c r="IV32" s="158"/>
      <c r="IW32" s="11"/>
      <c r="IX32" s="11"/>
      <c r="IY32" s="11"/>
      <c r="IZ32" s="12"/>
      <c r="JA32" s="12"/>
      <c r="JB32" s="12"/>
      <c r="JC32" s="12"/>
      <c r="JD32" s="12"/>
      <c r="JE32" s="152"/>
      <c r="JF32" s="152"/>
      <c r="JG32" s="61"/>
      <c r="JH32" s="13"/>
      <c r="JI32" s="13"/>
      <c r="JJ32" s="13"/>
      <c r="JK32" s="60"/>
      <c r="JL32" s="99"/>
      <c r="JN32" s="163"/>
      <c r="JO32" s="161"/>
      <c r="JP32" s="63"/>
      <c r="JQ32" s="64"/>
      <c r="JR32" s="62"/>
      <c r="JS32" s="50"/>
      <c r="JT32" s="29"/>
      <c r="JU32" s="10"/>
      <c r="JV32" s="158"/>
      <c r="JW32" s="11"/>
      <c r="JX32" s="11"/>
      <c r="JY32" s="11"/>
      <c r="JZ32" s="12"/>
      <c r="KA32" s="12"/>
      <c r="KB32" s="12"/>
      <c r="KC32" s="12"/>
      <c r="KD32" s="12"/>
      <c r="KE32" s="152"/>
      <c r="KF32" s="152"/>
      <c r="KG32" s="61"/>
      <c r="KH32" s="13"/>
      <c r="KI32" s="13"/>
      <c r="KJ32" s="13"/>
      <c r="KK32" s="60"/>
      <c r="KL32" s="99"/>
      <c r="KN32" s="163"/>
      <c r="KO32" s="161"/>
      <c r="KP32" s="63"/>
      <c r="KQ32" s="64"/>
      <c r="KR32" s="62"/>
      <c r="KS32" s="50"/>
      <c r="KT32" s="29"/>
      <c r="KU32" s="10"/>
      <c r="KV32" s="158"/>
      <c r="KW32" s="11"/>
      <c r="KX32" s="11"/>
      <c r="KY32" s="11"/>
      <c r="KZ32" s="12"/>
      <c r="LA32" s="12"/>
      <c r="LB32" s="12"/>
      <c r="LC32" s="12"/>
      <c r="LD32" s="12"/>
      <c r="LE32" s="152"/>
      <c r="LF32" s="152"/>
      <c r="LG32" s="61"/>
      <c r="LH32" s="13"/>
      <c r="LI32" s="13"/>
      <c r="LJ32" s="13"/>
      <c r="LK32" s="60"/>
      <c r="LL32" s="99"/>
      <c r="LO32" s="238"/>
    </row>
    <row r="33" spans="1:327" x14ac:dyDescent="0.35">
      <c r="A33" s="52"/>
      <c r="B33" s="69"/>
      <c r="C33" s="73"/>
      <c r="D33" s="55"/>
      <c r="E33" s="282"/>
      <c r="F33" s="56"/>
      <c r="G33" s="57"/>
      <c r="H33" s="59"/>
      <c r="I33" s="54"/>
      <c r="J33" s="59"/>
      <c r="K33" s="55"/>
      <c r="L33" s="67"/>
      <c r="M33" s="164"/>
      <c r="N33" s="163"/>
      <c r="O33" s="161"/>
      <c r="P33" s="63"/>
      <c r="Q33" s="163"/>
      <c r="R33" s="62"/>
      <c r="S33" s="50"/>
      <c r="T33" s="29"/>
      <c r="U33" s="10"/>
      <c r="V33" s="158"/>
      <c r="W33" s="11"/>
      <c r="X33" s="11"/>
      <c r="Y33" s="11"/>
      <c r="Z33" s="12"/>
      <c r="AA33" s="12"/>
      <c r="AB33" s="12"/>
      <c r="AC33" s="12"/>
      <c r="AD33" s="12"/>
      <c r="AE33" s="152"/>
      <c r="AF33" s="152"/>
      <c r="AG33" s="61"/>
      <c r="AH33" s="13"/>
      <c r="AI33" s="13"/>
      <c r="AJ33" s="13"/>
      <c r="AK33" s="60"/>
      <c r="AL33" s="99"/>
      <c r="AN33" s="163"/>
      <c r="AO33" s="161"/>
      <c r="AP33" s="63"/>
      <c r="AQ33" s="64"/>
      <c r="AR33" s="62"/>
      <c r="AS33" s="50"/>
      <c r="AT33" s="29"/>
      <c r="AU33" s="10"/>
      <c r="AV33" s="158"/>
      <c r="AW33" s="11"/>
      <c r="AX33" s="11"/>
      <c r="AY33" s="11"/>
      <c r="AZ33" s="12"/>
      <c r="BA33" s="12"/>
      <c r="BB33" s="12"/>
      <c r="BC33" s="12"/>
      <c r="BD33" s="12"/>
      <c r="BE33" s="152"/>
      <c r="BF33" s="152"/>
      <c r="BG33" s="61"/>
      <c r="BH33" s="13"/>
      <c r="BI33" s="13"/>
      <c r="BJ33" s="13"/>
      <c r="BK33" s="60"/>
      <c r="BL33" s="99"/>
      <c r="BM33" s="14"/>
      <c r="BN33" s="163"/>
      <c r="BO33" s="161"/>
      <c r="BP33" s="63"/>
      <c r="BQ33" s="64"/>
      <c r="BR33" s="62"/>
      <c r="BS33" s="50"/>
      <c r="BT33" s="29"/>
      <c r="BU33" s="10"/>
      <c r="BV33" s="158"/>
      <c r="BW33" s="11"/>
      <c r="BX33" s="11"/>
      <c r="BY33" s="11"/>
      <c r="BZ33" s="12"/>
      <c r="CA33" s="12"/>
      <c r="CB33" s="12"/>
      <c r="CC33" s="12"/>
      <c r="CD33" s="12"/>
      <c r="CE33" s="152"/>
      <c r="CF33" s="152"/>
      <c r="CG33" s="61"/>
      <c r="CH33" s="13"/>
      <c r="CI33" s="13"/>
      <c r="CJ33" s="13"/>
      <c r="CK33" s="60"/>
      <c r="CL33" s="99"/>
      <c r="CN33" s="163"/>
      <c r="CO33" s="161"/>
      <c r="CP33" s="63"/>
      <c r="CQ33" s="64"/>
      <c r="CR33" s="62"/>
      <c r="CS33" s="50"/>
      <c r="CT33" s="29"/>
      <c r="CU33" s="10"/>
      <c r="CV33" s="158"/>
      <c r="CW33" s="11"/>
      <c r="CX33" s="11"/>
      <c r="CY33" s="11"/>
      <c r="CZ33" s="12"/>
      <c r="DA33" s="12"/>
      <c r="DB33" s="12"/>
      <c r="DC33" s="12"/>
      <c r="DD33" s="12"/>
      <c r="DE33" s="152"/>
      <c r="DF33" s="152"/>
      <c r="DG33" s="61"/>
      <c r="DH33" s="13"/>
      <c r="DI33" s="13"/>
      <c r="DJ33" s="13"/>
      <c r="DK33" s="60"/>
      <c r="DL33" s="99"/>
      <c r="DN33" s="163"/>
      <c r="DO33" s="161"/>
      <c r="DP33" s="63"/>
      <c r="DQ33" s="64"/>
      <c r="DR33" s="62"/>
      <c r="DS33" s="50"/>
      <c r="DT33" s="29"/>
      <c r="DU33" s="10"/>
      <c r="DV33" s="158"/>
      <c r="DW33" s="11"/>
      <c r="DX33" s="11"/>
      <c r="DY33" s="11"/>
      <c r="DZ33" s="12"/>
      <c r="EA33" s="12"/>
      <c r="EB33" s="12"/>
      <c r="EC33" s="12"/>
      <c r="ED33" s="12"/>
      <c r="EE33" s="152"/>
      <c r="EF33" s="152"/>
      <c r="EG33" s="61"/>
      <c r="EH33" s="13"/>
      <c r="EI33" s="13"/>
      <c r="EJ33" s="13"/>
      <c r="EK33" s="60"/>
      <c r="EL33" s="99"/>
      <c r="EN33" s="163"/>
      <c r="EO33" s="161"/>
      <c r="EP33" s="63"/>
      <c r="EQ33" s="64"/>
      <c r="ER33" s="62"/>
      <c r="ES33" s="50"/>
      <c r="ET33" s="29"/>
      <c r="EU33" s="10"/>
      <c r="EV33" s="158"/>
      <c r="EW33" s="11"/>
      <c r="EX33" s="11"/>
      <c r="EY33" s="11"/>
      <c r="EZ33" s="12"/>
      <c r="FA33" s="12"/>
      <c r="FB33" s="12"/>
      <c r="FC33" s="12"/>
      <c r="FD33" s="12"/>
      <c r="FE33" s="152"/>
      <c r="FF33" s="152"/>
      <c r="FG33" s="61"/>
      <c r="FH33" s="13"/>
      <c r="FI33" s="13"/>
      <c r="FJ33" s="13"/>
      <c r="FK33" s="60"/>
      <c r="FL33" s="99"/>
      <c r="FN33" s="163"/>
      <c r="FO33" s="161"/>
      <c r="FP33" s="63"/>
      <c r="FQ33" s="64"/>
      <c r="FR33" s="62"/>
      <c r="FS33" s="50"/>
      <c r="FT33" s="29"/>
      <c r="FU33" s="10"/>
      <c r="FV33" s="158"/>
      <c r="FW33" s="11"/>
      <c r="FX33" s="11"/>
      <c r="FY33" s="11"/>
      <c r="FZ33" s="12"/>
      <c r="GA33" s="12"/>
      <c r="GB33" s="12"/>
      <c r="GC33" s="12"/>
      <c r="GD33" s="12"/>
      <c r="GE33" s="152"/>
      <c r="GF33" s="152"/>
      <c r="GG33" s="61"/>
      <c r="GH33" s="13"/>
      <c r="GI33" s="13"/>
      <c r="GJ33" s="13"/>
      <c r="GK33" s="60"/>
      <c r="GL33" s="99"/>
      <c r="GN33" s="163"/>
      <c r="GO33" s="161"/>
      <c r="GP33" s="63"/>
      <c r="GQ33" s="64"/>
      <c r="GR33" s="62"/>
      <c r="GS33" s="50"/>
      <c r="GT33" s="29"/>
      <c r="GU33" s="10"/>
      <c r="GV33" s="158"/>
      <c r="GW33" s="11"/>
      <c r="GX33" s="11"/>
      <c r="GY33" s="11"/>
      <c r="GZ33" s="12"/>
      <c r="HA33" s="12"/>
      <c r="HB33" s="12"/>
      <c r="HC33" s="12"/>
      <c r="HD33" s="12"/>
      <c r="HE33" s="152"/>
      <c r="HF33" s="152"/>
      <c r="HG33" s="61"/>
      <c r="HH33" s="13"/>
      <c r="HI33" s="13"/>
      <c r="HJ33" s="13"/>
      <c r="HK33" s="60"/>
      <c r="HL33" s="99"/>
      <c r="HN33" s="163"/>
      <c r="HO33" s="161"/>
      <c r="HP33" s="63"/>
      <c r="HQ33" s="64"/>
      <c r="HR33" s="62"/>
      <c r="HS33" s="50"/>
      <c r="HT33" s="29"/>
      <c r="HU33" s="10"/>
      <c r="HV33" s="158"/>
      <c r="HW33" s="11"/>
      <c r="HX33" s="11"/>
      <c r="HY33" s="11"/>
      <c r="HZ33" s="12"/>
      <c r="IA33" s="12"/>
      <c r="IB33" s="12"/>
      <c r="IC33" s="12"/>
      <c r="ID33" s="12"/>
      <c r="IE33" s="152"/>
      <c r="IF33" s="152"/>
      <c r="IG33" s="61"/>
      <c r="IH33" s="13"/>
      <c r="II33" s="13"/>
      <c r="IJ33" s="13"/>
      <c r="IK33" s="60"/>
      <c r="IL33" s="99"/>
      <c r="IN33" s="163"/>
      <c r="IO33" s="161"/>
      <c r="IP33" s="63"/>
      <c r="IQ33" s="64"/>
      <c r="IR33" s="62"/>
      <c r="IS33" s="50"/>
      <c r="IT33" s="29"/>
      <c r="IU33" s="10"/>
      <c r="IV33" s="158"/>
      <c r="IW33" s="11"/>
      <c r="IX33" s="11"/>
      <c r="IY33" s="11"/>
      <c r="IZ33" s="12"/>
      <c r="JA33" s="12"/>
      <c r="JB33" s="12"/>
      <c r="JC33" s="12"/>
      <c r="JD33" s="12"/>
      <c r="JE33" s="152"/>
      <c r="JF33" s="152"/>
      <c r="JG33" s="61"/>
      <c r="JH33" s="13"/>
      <c r="JI33" s="13"/>
      <c r="JJ33" s="13"/>
      <c r="JK33" s="60"/>
      <c r="JL33" s="99"/>
      <c r="JN33" s="163"/>
      <c r="JO33" s="161"/>
      <c r="JP33" s="63"/>
      <c r="JQ33" s="64"/>
      <c r="JR33" s="62"/>
      <c r="JS33" s="50"/>
      <c r="JT33" s="29"/>
      <c r="JU33" s="10"/>
      <c r="JV33" s="158"/>
      <c r="JW33" s="11"/>
      <c r="JX33" s="11"/>
      <c r="JY33" s="11"/>
      <c r="JZ33" s="12"/>
      <c r="KA33" s="12"/>
      <c r="KB33" s="12"/>
      <c r="KC33" s="12"/>
      <c r="KD33" s="12"/>
      <c r="KE33" s="152"/>
      <c r="KF33" s="152"/>
      <c r="KG33" s="61"/>
      <c r="KH33" s="13"/>
      <c r="KI33" s="13"/>
      <c r="KJ33" s="13"/>
      <c r="KK33" s="60"/>
      <c r="KL33" s="99"/>
      <c r="KN33" s="163"/>
      <c r="KO33" s="161"/>
      <c r="KP33" s="63"/>
      <c r="KQ33" s="64"/>
      <c r="KR33" s="62"/>
      <c r="KS33" s="50"/>
      <c r="KT33" s="29"/>
      <c r="KU33" s="10"/>
      <c r="KV33" s="158"/>
      <c r="KW33" s="11"/>
      <c r="KX33" s="11"/>
      <c r="KY33" s="11"/>
      <c r="KZ33" s="12"/>
      <c r="LA33" s="12"/>
      <c r="LB33" s="12"/>
      <c r="LC33" s="12"/>
      <c r="LD33" s="12"/>
      <c r="LE33" s="152"/>
      <c r="LF33" s="152"/>
      <c r="LG33" s="61"/>
      <c r="LH33" s="13"/>
      <c r="LI33" s="13"/>
      <c r="LJ33" s="13"/>
      <c r="LK33" s="60"/>
      <c r="LL33" s="99"/>
      <c r="LO33" s="238"/>
    </row>
    <row r="34" spans="1:327" x14ac:dyDescent="0.35">
      <c r="A34" s="52"/>
      <c r="B34" s="69"/>
      <c r="C34" s="285"/>
      <c r="D34" s="71"/>
      <c r="E34" s="272"/>
      <c r="F34" s="56"/>
      <c r="G34" s="57"/>
      <c r="H34" s="59"/>
      <c r="I34" s="54"/>
      <c r="J34" s="59"/>
      <c r="K34" s="55"/>
      <c r="L34" s="67"/>
      <c r="M34" s="164"/>
      <c r="N34" s="163"/>
      <c r="O34" s="161"/>
      <c r="P34" s="63"/>
      <c r="Q34" s="163"/>
      <c r="R34" s="62"/>
      <c r="S34" s="50"/>
      <c r="T34" s="29"/>
      <c r="U34" s="10"/>
      <c r="V34" s="158"/>
      <c r="W34" s="11"/>
      <c r="X34" s="11"/>
      <c r="Y34" s="11"/>
      <c r="Z34" s="12"/>
      <c r="AA34" s="12"/>
      <c r="AB34" s="12"/>
      <c r="AC34" s="12"/>
      <c r="AD34" s="12"/>
      <c r="AE34" s="152"/>
      <c r="AF34" s="152"/>
      <c r="AG34" s="61"/>
      <c r="AH34" s="13"/>
      <c r="AI34" s="13"/>
      <c r="AJ34" s="13"/>
      <c r="AK34" s="60"/>
      <c r="AL34" s="99"/>
      <c r="AN34" s="163"/>
      <c r="AO34" s="161"/>
      <c r="AP34" s="63"/>
      <c r="AQ34" s="64"/>
      <c r="AR34" s="62"/>
      <c r="AS34" s="50"/>
      <c r="AT34" s="29"/>
      <c r="AU34" s="10"/>
      <c r="AV34" s="158"/>
      <c r="AW34" s="11"/>
      <c r="AX34" s="11"/>
      <c r="AY34" s="11"/>
      <c r="AZ34" s="12"/>
      <c r="BA34" s="12"/>
      <c r="BB34" s="12"/>
      <c r="BC34" s="12"/>
      <c r="BD34" s="12"/>
      <c r="BE34" s="152"/>
      <c r="BF34" s="152"/>
      <c r="BG34" s="61"/>
      <c r="BH34" s="13"/>
      <c r="BI34" s="13"/>
      <c r="BJ34" s="13"/>
      <c r="BK34" s="60"/>
      <c r="BL34" s="99"/>
      <c r="BM34" s="14"/>
      <c r="BN34" s="163"/>
      <c r="BO34" s="161"/>
      <c r="BP34" s="63"/>
      <c r="BQ34" s="64"/>
      <c r="BR34" s="62"/>
      <c r="BS34" s="50"/>
      <c r="BT34" s="29"/>
      <c r="BU34" s="10"/>
      <c r="BV34" s="158"/>
      <c r="BW34" s="11"/>
      <c r="BX34" s="11"/>
      <c r="BY34" s="11"/>
      <c r="BZ34" s="12"/>
      <c r="CA34" s="12"/>
      <c r="CB34" s="12"/>
      <c r="CC34" s="12"/>
      <c r="CD34" s="12"/>
      <c r="CE34" s="152"/>
      <c r="CF34" s="152"/>
      <c r="CG34" s="61"/>
      <c r="CH34" s="13"/>
      <c r="CI34" s="13"/>
      <c r="CJ34" s="13"/>
      <c r="CK34" s="60"/>
      <c r="CL34" s="99"/>
      <c r="CN34" s="163"/>
      <c r="CO34" s="161"/>
      <c r="CP34" s="63"/>
      <c r="CQ34" s="64"/>
      <c r="CR34" s="62"/>
      <c r="CS34" s="50"/>
      <c r="CT34" s="29"/>
      <c r="CU34" s="10"/>
      <c r="CV34" s="158"/>
      <c r="CW34" s="11"/>
      <c r="CX34" s="11"/>
      <c r="CY34" s="11"/>
      <c r="CZ34" s="12"/>
      <c r="DA34" s="12"/>
      <c r="DB34" s="12"/>
      <c r="DC34" s="12"/>
      <c r="DD34" s="12"/>
      <c r="DE34" s="152"/>
      <c r="DF34" s="152"/>
      <c r="DG34" s="61"/>
      <c r="DH34" s="13"/>
      <c r="DI34" s="13"/>
      <c r="DJ34" s="13"/>
      <c r="DK34" s="60"/>
      <c r="DL34" s="99"/>
      <c r="DN34" s="163"/>
      <c r="DO34" s="161"/>
      <c r="DP34" s="63"/>
      <c r="DQ34" s="64"/>
      <c r="DR34" s="62"/>
      <c r="DS34" s="50"/>
      <c r="DT34" s="29"/>
      <c r="DU34" s="10"/>
      <c r="DV34" s="158"/>
      <c r="DW34" s="11"/>
      <c r="DX34" s="11"/>
      <c r="DY34" s="11"/>
      <c r="DZ34" s="12"/>
      <c r="EA34" s="12"/>
      <c r="EB34" s="12"/>
      <c r="EC34" s="12"/>
      <c r="ED34" s="12"/>
      <c r="EE34" s="152"/>
      <c r="EF34" s="152"/>
      <c r="EG34" s="61"/>
      <c r="EH34" s="13"/>
      <c r="EI34" s="13"/>
      <c r="EJ34" s="13"/>
      <c r="EK34" s="60"/>
      <c r="EL34" s="99"/>
      <c r="EN34" s="163"/>
      <c r="EO34" s="161"/>
      <c r="EP34" s="63"/>
      <c r="EQ34" s="64"/>
      <c r="ER34" s="62"/>
      <c r="ES34" s="50"/>
      <c r="ET34" s="29"/>
      <c r="EU34" s="10"/>
      <c r="EV34" s="158"/>
      <c r="EW34" s="11"/>
      <c r="EX34" s="11"/>
      <c r="EY34" s="11"/>
      <c r="EZ34" s="12"/>
      <c r="FA34" s="12"/>
      <c r="FB34" s="12"/>
      <c r="FC34" s="12"/>
      <c r="FD34" s="12"/>
      <c r="FE34" s="152"/>
      <c r="FF34" s="152"/>
      <c r="FG34" s="61"/>
      <c r="FH34" s="13"/>
      <c r="FI34" s="13"/>
      <c r="FJ34" s="13"/>
      <c r="FK34" s="60"/>
      <c r="FL34" s="99"/>
      <c r="FN34" s="163"/>
      <c r="FO34" s="161"/>
      <c r="FP34" s="63"/>
      <c r="FQ34" s="64"/>
      <c r="FR34" s="62"/>
      <c r="FS34" s="50"/>
      <c r="FT34" s="29"/>
      <c r="FU34" s="10"/>
      <c r="FV34" s="158"/>
      <c r="FW34" s="11"/>
      <c r="FX34" s="11"/>
      <c r="FY34" s="11"/>
      <c r="FZ34" s="12"/>
      <c r="GA34" s="12"/>
      <c r="GB34" s="12"/>
      <c r="GC34" s="12"/>
      <c r="GD34" s="12"/>
      <c r="GE34" s="152"/>
      <c r="GF34" s="152"/>
      <c r="GG34" s="61"/>
      <c r="GH34" s="13"/>
      <c r="GI34" s="13"/>
      <c r="GJ34" s="13"/>
      <c r="GK34" s="60"/>
      <c r="GL34" s="99"/>
      <c r="GN34" s="163"/>
      <c r="GO34" s="161"/>
      <c r="GP34" s="63"/>
      <c r="GQ34" s="64"/>
      <c r="GR34" s="62"/>
      <c r="GS34" s="50"/>
      <c r="GT34" s="29"/>
      <c r="GU34" s="10"/>
      <c r="GV34" s="158"/>
      <c r="GW34" s="11"/>
      <c r="GX34" s="11"/>
      <c r="GY34" s="11"/>
      <c r="GZ34" s="12"/>
      <c r="HA34" s="12"/>
      <c r="HB34" s="12"/>
      <c r="HC34" s="12"/>
      <c r="HD34" s="12"/>
      <c r="HE34" s="152"/>
      <c r="HF34" s="152"/>
      <c r="HG34" s="61"/>
      <c r="HH34" s="13"/>
      <c r="HI34" s="13"/>
      <c r="HJ34" s="13"/>
      <c r="HK34" s="60"/>
      <c r="HL34" s="99"/>
      <c r="HN34" s="163"/>
      <c r="HO34" s="161"/>
      <c r="HP34" s="63"/>
      <c r="HQ34" s="64"/>
      <c r="HR34" s="62"/>
      <c r="HS34" s="50"/>
      <c r="HT34" s="29"/>
      <c r="HU34" s="10"/>
      <c r="HV34" s="158"/>
      <c r="HW34" s="11"/>
      <c r="HX34" s="11"/>
      <c r="HY34" s="11"/>
      <c r="HZ34" s="12"/>
      <c r="IA34" s="12"/>
      <c r="IB34" s="12"/>
      <c r="IC34" s="12"/>
      <c r="ID34" s="12"/>
      <c r="IE34" s="152"/>
      <c r="IF34" s="152"/>
      <c r="IG34" s="61"/>
      <c r="IH34" s="13"/>
      <c r="II34" s="13"/>
      <c r="IJ34" s="13"/>
      <c r="IK34" s="60"/>
      <c r="IL34" s="99"/>
      <c r="IN34" s="163"/>
      <c r="IO34" s="161"/>
      <c r="IP34" s="63"/>
      <c r="IQ34" s="64"/>
      <c r="IR34" s="62"/>
      <c r="IS34" s="50"/>
      <c r="IT34" s="29"/>
      <c r="IU34" s="10"/>
      <c r="IV34" s="158"/>
      <c r="IW34" s="11"/>
      <c r="IX34" s="11"/>
      <c r="IY34" s="11"/>
      <c r="IZ34" s="12"/>
      <c r="JA34" s="12"/>
      <c r="JB34" s="12"/>
      <c r="JC34" s="12"/>
      <c r="JD34" s="12"/>
      <c r="JE34" s="152"/>
      <c r="JF34" s="152"/>
      <c r="JG34" s="61"/>
      <c r="JH34" s="13"/>
      <c r="JI34" s="13"/>
      <c r="JJ34" s="13"/>
      <c r="JK34" s="60"/>
      <c r="JL34" s="99"/>
      <c r="JN34" s="163"/>
      <c r="JO34" s="161"/>
      <c r="JP34" s="63"/>
      <c r="JQ34" s="64"/>
      <c r="JR34" s="62"/>
      <c r="JS34" s="50"/>
      <c r="JT34" s="29"/>
      <c r="JU34" s="10"/>
      <c r="JV34" s="158"/>
      <c r="JW34" s="11"/>
      <c r="JX34" s="11"/>
      <c r="JY34" s="11"/>
      <c r="JZ34" s="12"/>
      <c r="KA34" s="12"/>
      <c r="KB34" s="12"/>
      <c r="KC34" s="12"/>
      <c r="KD34" s="12"/>
      <c r="KE34" s="152"/>
      <c r="KF34" s="152"/>
      <c r="KG34" s="61"/>
      <c r="KH34" s="13"/>
      <c r="KI34" s="13"/>
      <c r="KJ34" s="13"/>
      <c r="KK34" s="60"/>
      <c r="KL34" s="99"/>
      <c r="KN34" s="163"/>
      <c r="KO34" s="161"/>
      <c r="KP34" s="63"/>
      <c r="KQ34" s="64"/>
      <c r="KR34" s="62"/>
      <c r="KS34" s="50"/>
      <c r="KT34" s="29"/>
      <c r="KU34" s="10"/>
      <c r="KV34" s="158"/>
      <c r="KW34" s="11"/>
      <c r="KX34" s="11"/>
      <c r="KY34" s="11"/>
      <c r="KZ34" s="12"/>
      <c r="LA34" s="12"/>
      <c r="LB34" s="12"/>
      <c r="LC34" s="12"/>
      <c r="LD34" s="12"/>
      <c r="LE34" s="152"/>
      <c r="LF34" s="152"/>
      <c r="LG34" s="61"/>
      <c r="LH34" s="13"/>
      <c r="LI34" s="13"/>
      <c r="LJ34" s="13"/>
      <c r="LK34" s="60"/>
      <c r="LL34" s="99"/>
      <c r="LO34" s="238"/>
    </row>
    <row r="35" spans="1:327" ht="15" thickBot="1" x14ac:dyDescent="0.4">
      <c r="A35" s="52"/>
      <c r="B35" s="69"/>
      <c r="C35" s="285"/>
      <c r="D35" s="71"/>
      <c r="E35" s="281"/>
      <c r="F35" s="56"/>
      <c r="G35" s="129"/>
      <c r="H35" s="59"/>
      <c r="I35" s="54"/>
      <c r="J35" s="59"/>
      <c r="K35" s="55"/>
      <c r="L35" s="67"/>
      <c r="M35" s="164"/>
      <c r="N35" s="163"/>
      <c r="O35" s="166"/>
      <c r="P35" s="167"/>
      <c r="Q35" s="163"/>
      <c r="R35" s="169"/>
      <c r="S35" s="170"/>
      <c r="T35" s="171"/>
      <c r="U35" s="172"/>
      <c r="V35" s="173"/>
      <c r="W35" s="174"/>
      <c r="X35" s="174"/>
      <c r="Y35" s="174"/>
      <c r="Z35" s="175"/>
      <c r="AA35" s="175"/>
      <c r="AB35" s="175"/>
      <c r="AC35" s="175"/>
      <c r="AD35" s="175"/>
      <c r="AE35" s="176"/>
      <c r="AF35" s="176"/>
      <c r="AG35" s="61"/>
      <c r="AH35" s="177"/>
      <c r="AI35" s="177"/>
      <c r="AJ35" s="177"/>
      <c r="AK35" s="178"/>
      <c r="AL35" s="179"/>
      <c r="AN35" s="165"/>
      <c r="AO35" s="166"/>
      <c r="AP35" s="167"/>
      <c r="AQ35" s="168"/>
      <c r="AR35" s="169"/>
      <c r="AS35" s="170"/>
      <c r="AT35" s="171"/>
      <c r="AU35" s="172"/>
      <c r="AV35" s="173"/>
      <c r="AW35" s="11"/>
      <c r="AX35" s="11"/>
      <c r="AY35" s="11"/>
      <c r="AZ35" s="12"/>
      <c r="BA35" s="12"/>
      <c r="BB35" s="12"/>
      <c r="BC35" s="12"/>
      <c r="BD35" s="12"/>
      <c r="BE35" s="152"/>
      <c r="BF35" s="152"/>
      <c r="BG35" s="61"/>
      <c r="BH35" s="13"/>
      <c r="BI35" s="13"/>
      <c r="BJ35" s="13"/>
      <c r="BK35" s="60"/>
      <c r="BL35" s="99"/>
      <c r="BM35" s="14"/>
      <c r="BN35" s="163"/>
      <c r="BO35" s="166"/>
      <c r="BP35" s="167"/>
      <c r="BQ35" s="64"/>
      <c r="BR35" s="169"/>
      <c r="BS35" s="170"/>
      <c r="BT35" s="171"/>
      <c r="BU35" s="172"/>
      <c r="BV35" s="173"/>
      <c r="BW35" s="11"/>
      <c r="BX35" s="11"/>
      <c r="BY35" s="11"/>
      <c r="BZ35" s="12"/>
      <c r="CA35" s="12"/>
      <c r="CB35" s="12"/>
      <c r="CC35" s="12"/>
      <c r="CD35" s="12"/>
      <c r="CE35" s="152"/>
      <c r="CF35" s="152"/>
      <c r="CG35" s="61"/>
      <c r="CH35" s="13"/>
      <c r="CI35" s="13"/>
      <c r="CJ35" s="13"/>
      <c r="CK35" s="60"/>
      <c r="CL35" s="99"/>
      <c r="CN35" s="165"/>
      <c r="CO35" s="166"/>
      <c r="CP35" s="167"/>
      <c r="CQ35" s="168"/>
      <c r="CR35" s="169"/>
      <c r="CS35" s="170"/>
      <c r="CT35" s="171"/>
      <c r="CU35" s="172"/>
      <c r="CV35" s="173"/>
      <c r="CW35" s="11"/>
      <c r="CX35" s="11"/>
      <c r="CY35" s="11"/>
      <c r="CZ35" s="12"/>
      <c r="DA35" s="12"/>
      <c r="DB35" s="12"/>
      <c r="DC35" s="12"/>
      <c r="DD35" s="12"/>
      <c r="DE35" s="152"/>
      <c r="DF35" s="152"/>
      <c r="DG35" s="61"/>
      <c r="DH35" s="13"/>
      <c r="DI35" s="13"/>
      <c r="DJ35" s="13"/>
      <c r="DK35" s="60"/>
      <c r="DL35" s="99"/>
      <c r="DN35" s="165"/>
      <c r="DO35" s="166"/>
      <c r="DP35" s="167"/>
      <c r="DQ35" s="168"/>
      <c r="DR35" s="169"/>
      <c r="DS35" s="170"/>
      <c r="DT35" s="171"/>
      <c r="DU35" s="172"/>
      <c r="DV35" s="173"/>
      <c r="DW35" s="11"/>
      <c r="DX35" s="11"/>
      <c r="DY35" s="11"/>
      <c r="DZ35" s="12"/>
      <c r="EA35" s="12"/>
      <c r="EB35" s="12"/>
      <c r="EC35" s="12"/>
      <c r="ED35" s="12"/>
      <c r="EE35" s="152"/>
      <c r="EF35" s="152"/>
      <c r="EG35" s="61"/>
      <c r="EH35" s="13"/>
      <c r="EI35" s="13"/>
      <c r="EJ35" s="13"/>
      <c r="EK35" s="60"/>
      <c r="EL35" s="99"/>
      <c r="EN35" s="165"/>
      <c r="EO35" s="166"/>
      <c r="EP35" s="167"/>
      <c r="EQ35" s="168"/>
      <c r="ER35" s="169"/>
      <c r="ES35" s="170"/>
      <c r="ET35" s="171"/>
      <c r="EU35" s="172"/>
      <c r="EV35" s="173"/>
      <c r="EW35" s="11"/>
      <c r="EX35" s="11"/>
      <c r="EY35" s="11"/>
      <c r="EZ35" s="12"/>
      <c r="FA35" s="12"/>
      <c r="FB35" s="12"/>
      <c r="FC35" s="12"/>
      <c r="FD35" s="12"/>
      <c r="FE35" s="152"/>
      <c r="FF35" s="152"/>
      <c r="FG35" s="61"/>
      <c r="FH35" s="13"/>
      <c r="FI35" s="13"/>
      <c r="FJ35" s="13"/>
      <c r="FK35" s="60"/>
      <c r="FL35" s="99"/>
      <c r="FN35" s="165"/>
      <c r="FO35" s="166"/>
      <c r="FP35" s="167"/>
      <c r="FQ35" s="168"/>
      <c r="FR35" s="169"/>
      <c r="FS35" s="170"/>
      <c r="FT35" s="171"/>
      <c r="FU35" s="172"/>
      <c r="FV35" s="173"/>
      <c r="FW35" s="11"/>
      <c r="FX35" s="11"/>
      <c r="FY35" s="11"/>
      <c r="FZ35" s="12"/>
      <c r="GA35" s="12"/>
      <c r="GB35" s="12"/>
      <c r="GC35" s="12"/>
      <c r="GD35" s="12"/>
      <c r="GE35" s="152"/>
      <c r="GF35" s="152"/>
      <c r="GG35" s="61"/>
      <c r="GH35" s="13"/>
      <c r="GI35" s="13"/>
      <c r="GJ35" s="13"/>
      <c r="GK35" s="60"/>
      <c r="GL35" s="99"/>
      <c r="GN35" s="165"/>
      <c r="GO35" s="166"/>
      <c r="GP35" s="167"/>
      <c r="GQ35" s="168"/>
      <c r="GR35" s="169"/>
      <c r="GS35" s="170"/>
      <c r="GT35" s="171"/>
      <c r="GU35" s="172"/>
      <c r="GV35" s="173"/>
      <c r="GW35" s="11"/>
      <c r="GX35" s="11"/>
      <c r="GY35" s="11"/>
      <c r="GZ35" s="12"/>
      <c r="HA35" s="12"/>
      <c r="HB35" s="12"/>
      <c r="HC35" s="12"/>
      <c r="HD35" s="12"/>
      <c r="HE35" s="152"/>
      <c r="HF35" s="152"/>
      <c r="HG35" s="61"/>
      <c r="HH35" s="13"/>
      <c r="HI35" s="13"/>
      <c r="HJ35" s="13"/>
      <c r="HK35" s="60"/>
      <c r="HL35" s="99"/>
      <c r="HN35" s="165"/>
      <c r="HO35" s="166"/>
      <c r="HP35" s="167"/>
      <c r="HQ35" s="168"/>
      <c r="HR35" s="169"/>
      <c r="HS35" s="170"/>
      <c r="HT35" s="171"/>
      <c r="HU35" s="172"/>
      <c r="HV35" s="173"/>
      <c r="HW35" s="11"/>
      <c r="HX35" s="11"/>
      <c r="HY35" s="11"/>
      <c r="HZ35" s="12"/>
      <c r="IA35" s="12"/>
      <c r="IB35" s="12"/>
      <c r="IC35" s="12"/>
      <c r="ID35" s="12"/>
      <c r="IE35" s="152"/>
      <c r="IF35" s="152"/>
      <c r="IG35" s="61"/>
      <c r="IH35" s="13"/>
      <c r="II35" s="13"/>
      <c r="IJ35" s="13"/>
      <c r="IK35" s="60"/>
      <c r="IL35" s="99"/>
      <c r="IN35" s="165"/>
      <c r="IO35" s="166"/>
      <c r="IP35" s="167"/>
      <c r="IQ35" s="168"/>
      <c r="IR35" s="169"/>
      <c r="IS35" s="170"/>
      <c r="IT35" s="171"/>
      <c r="IU35" s="172"/>
      <c r="IV35" s="173"/>
      <c r="IW35" s="11"/>
      <c r="IX35" s="11"/>
      <c r="IY35" s="11"/>
      <c r="IZ35" s="12"/>
      <c r="JA35" s="12"/>
      <c r="JB35" s="12"/>
      <c r="JC35" s="12"/>
      <c r="JD35" s="12"/>
      <c r="JE35" s="152"/>
      <c r="JF35" s="152"/>
      <c r="JG35" s="61"/>
      <c r="JH35" s="13"/>
      <c r="JI35" s="13"/>
      <c r="JJ35" s="13"/>
      <c r="JK35" s="60"/>
      <c r="JL35" s="99"/>
      <c r="JN35" s="165"/>
      <c r="JO35" s="166"/>
      <c r="JP35" s="167"/>
      <c r="JQ35" s="168"/>
      <c r="JR35" s="169"/>
      <c r="JS35" s="170"/>
      <c r="JT35" s="171"/>
      <c r="JU35" s="172"/>
      <c r="JV35" s="173"/>
      <c r="JW35" s="11"/>
      <c r="JX35" s="11"/>
      <c r="JY35" s="11"/>
      <c r="JZ35" s="12"/>
      <c r="KA35" s="12"/>
      <c r="KB35" s="12"/>
      <c r="KC35" s="12"/>
      <c r="KD35" s="12"/>
      <c r="KE35" s="152"/>
      <c r="KF35" s="152"/>
      <c r="KG35" s="61"/>
      <c r="KH35" s="13"/>
      <c r="KI35" s="13"/>
      <c r="KJ35" s="13"/>
      <c r="KK35" s="60"/>
      <c r="KL35" s="99"/>
      <c r="KN35" s="165"/>
      <c r="KO35" s="166"/>
      <c r="KP35" s="167"/>
      <c r="KQ35" s="168"/>
      <c r="KR35" s="169"/>
      <c r="KS35" s="170"/>
      <c r="KT35" s="171"/>
      <c r="KU35" s="172"/>
      <c r="KV35" s="173"/>
      <c r="KW35" s="11"/>
      <c r="KX35" s="11"/>
      <c r="KY35" s="11"/>
      <c r="KZ35" s="12"/>
      <c r="LA35" s="12"/>
      <c r="LB35" s="12"/>
      <c r="LC35" s="12"/>
      <c r="LD35" s="12"/>
      <c r="LE35" s="152"/>
      <c r="LF35" s="152"/>
      <c r="LG35" s="61"/>
      <c r="LH35" s="13"/>
      <c r="LI35" s="13"/>
      <c r="LJ35" s="13"/>
      <c r="LK35" s="60"/>
      <c r="LL35" s="99"/>
      <c r="LO35" s="238"/>
    </row>
    <row r="36" spans="1:327" ht="15.5" thickTop="1" thickBot="1" x14ac:dyDescent="0.4">
      <c r="A36" s="52"/>
      <c r="B36" s="69"/>
      <c r="C36" s="285"/>
      <c r="D36" s="71"/>
      <c r="E36" s="281"/>
      <c r="F36" s="56"/>
      <c r="G36" s="129"/>
      <c r="H36" s="59"/>
      <c r="I36" s="54"/>
      <c r="J36" s="59"/>
      <c r="K36" s="55"/>
      <c r="L36" s="67"/>
      <c r="M36" s="164"/>
      <c r="N36" s="163"/>
      <c r="O36" s="166"/>
      <c r="P36" s="167"/>
      <c r="Q36" s="163"/>
      <c r="R36" s="169"/>
      <c r="S36" s="170"/>
      <c r="T36" s="171"/>
      <c r="U36" s="172"/>
      <c r="V36" s="173"/>
      <c r="W36" s="174"/>
      <c r="X36" s="174"/>
      <c r="Y36" s="174"/>
      <c r="Z36" s="175"/>
      <c r="AA36" s="175"/>
      <c r="AB36" s="175"/>
      <c r="AC36" s="175"/>
      <c r="AD36" s="175"/>
      <c r="AE36" s="176"/>
      <c r="AF36" s="176"/>
      <c r="AG36" s="61"/>
      <c r="AH36" s="177"/>
      <c r="AI36" s="177"/>
      <c r="AJ36" s="177"/>
      <c r="AK36" s="178"/>
      <c r="AL36" s="179"/>
      <c r="AN36" s="165"/>
      <c r="AO36" s="166"/>
      <c r="AP36" s="167"/>
      <c r="AQ36" s="168"/>
      <c r="AR36" s="169"/>
      <c r="AS36" s="170"/>
      <c r="AT36" s="171"/>
      <c r="AU36" s="172"/>
      <c r="AV36" s="173"/>
      <c r="AW36" s="11"/>
      <c r="AX36" s="11"/>
      <c r="AY36" s="11"/>
      <c r="AZ36" s="12"/>
      <c r="BA36" s="12"/>
      <c r="BB36" s="12"/>
      <c r="BC36" s="12"/>
      <c r="BD36" s="12"/>
      <c r="BE36" s="152"/>
      <c r="BF36" s="152"/>
      <c r="BG36" s="61"/>
      <c r="BH36" s="13"/>
      <c r="BI36" s="13"/>
      <c r="BJ36" s="13"/>
      <c r="BK36" s="60"/>
      <c r="BL36" s="99"/>
      <c r="BM36" s="14"/>
      <c r="BN36" s="163"/>
      <c r="BO36" s="166"/>
      <c r="BP36" s="167"/>
      <c r="BQ36" s="64"/>
      <c r="BR36" s="169"/>
      <c r="BS36" s="170"/>
      <c r="BT36" s="171"/>
      <c r="BU36" s="172"/>
      <c r="BV36" s="173"/>
      <c r="BW36" s="11"/>
      <c r="BX36" s="11"/>
      <c r="BY36" s="11"/>
      <c r="BZ36" s="12"/>
      <c r="CA36" s="12"/>
      <c r="CB36" s="12"/>
      <c r="CC36" s="12"/>
      <c r="CD36" s="12"/>
      <c r="CE36" s="152"/>
      <c r="CF36" s="152"/>
      <c r="CG36" s="61"/>
      <c r="CH36" s="13"/>
      <c r="CI36" s="13"/>
      <c r="CJ36" s="13"/>
      <c r="CK36" s="60"/>
      <c r="CL36" s="99"/>
      <c r="CN36" s="165"/>
      <c r="CO36" s="166"/>
      <c r="CP36" s="167"/>
      <c r="CQ36" s="168"/>
      <c r="CR36" s="169"/>
      <c r="CS36" s="170"/>
      <c r="CT36" s="171"/>
      <c r="CU36" s="172"/>
      <c r="CV36" s="173"/>
      <c r="CW36" s="11"/>
      <c r="CX36" s="11"/>
      <c r="CY36" s="11"/>
      <c r="CZ36" s="12"/>
      <c r="DA36" s="12"/>
      <c r="DB36" s="12"/>
      <c r="DC36" s="12"/>
      <c r="DD36" s="12"/>
      <c r="DE36" s="152"/>
      <c r="DF36" s="152"/>
      <c r="DG36" s="61"/>
      <c r="DH36" s="13"/>
      <c r="DI36" s="13"/>
      <c r="DJ36" s="13"/>
      <c r="DK36" s="60"/>
      <c r="DL36" s="99"/>
      <c r="DN36" s="165"/>
      <c r="DO36" s="166"/>
      <c r="DP36" s="167"/>
      <c r="DQ36" s="168"/>
      <c r="DR36" s="169"/>
      <c r="DS36" s="170"/>
      <c r="DT36" s="171"/>
      <c r="DU36" s="172"/>
      <c r="DV36" s="173"/>
      <c r="DW36" s="11"/>
      <c r="DX36" s="11"/>
      <c r="DY36" s="11"/>
      <c r="DZ36" s="12"/>
      <c r="EA36" s="12"/>
      <c r="EB36" s="12"/>
      <c r="EC36" s="12"/>
      <c r="ED36" s="12"/>
      <c r="EE36" s="152"/>
      <c r="EF36" s="152"/>
      <c r="EG36" s="61"/>
      <c r="EH36" s="13"/>
      <c r="EI36" s="13"/>
      <c r="EJ36" s="13"/>
      <c r="EK36" s="60"/>
      <c r="EL36" s="99"/>
      <c r="EN36" s="165"/>
      <c r="EO36" s="166"/>
      <c r="EP36" s="167"/>
      <c r="EQ36" s="168"/>
      <c r="ER36" s="169"/>
      <c r="ES36" s="170"/>
      <c r="ET36" s="171"/>
      <c r="EU36" s="172"/>
      <c r="EV36" s="173"/>
      <c r="EW36" s="11"/>
      <c r="EX36" s="11"/>
      <c r="EY36" s="11"/>
      <c r="EZ36" s="12"/>
      <c r="FA36" s="12"/>
      <c r="FB36" s="12"/>
      <c r="FC36" s="12"/>
      <c r="FD36" s="12"/>
      <c r="FE36" s="152"/>
      <c r="FF36" s="152"/>
      <c r="FG36" s="61"/>
      <c r="FH36" s="13"/>
      <c r="FI36" s="13"/>
      <c r="FJ36" s="13"/>
      <c r="FK36" s="60"/>
      <c r="FL36" s="99"/>
      <c r="FN36" s="165"/>
      <c r="FO36" s="166"/>
      <c r="FP36" s="167"/>
      <c r="FQ36" s="168"/>
      <c r="FR36" s="169"/>
      <c r="FS36" s="170"/>
      <c r="FT36" s="171"/>
      <c r="FU36" s="172"/>
      <c r="FV36" s="173"/>
      <c r="FW36" s="11"/>
      <c r="FX36" s="11"/>
      <c r="FY36" s="11"/>
      <c r="FZ36" s="12"/>
      <c r="GA36" s="12"/>
      <c r="GB36" s="12"/>
      <c r="GC36" s="12"/>
      <c r="GD36" s="12"/>
      <c r="GE36" s="152"/>
      <c r="GF36" s="152"/>
      <c r="GG36" s="61"/>
      <c r="GH36" s="13"/>
      <c r="GI36" s="13"/>
      <c r="GJ36" s="13"/>
      <c r="GK36" s="60"/>
      <c r="GL36" s="99"/>
      <c r="GN36" s="165"/>
      <c r="GO36" s="166"/>
      <c r="GP36" s="167"/>
      <c r="GQ36" s="168"/>
      <c r="GR36" s="169"/>
      <c r="GS36" s="170"/>
      <c r="GT36" s="171"/>
      <c r="GU36" s="172"/>
      <c r="GV36" s="173"/>
      <c r="GW36" s="11"/>
      <c r="GX36" s="11"/>
      <c r="GY36" s="11"/>
      <c r="GZ36" s="12"/>
      <c r="HA36" s="12"/>
      <c r="HB36" s="12"/>
      <c r="HC36" s="12"/>
      <c r="HD36" s="12"/>
      <c r="HE36" s="152"/>
      <c r="HF36" s="152"/>
      <c r="HG36" s="61"/>
      <c r="HH36" s="13"/>
      <c r="HI36" s="13"/>
      <c r="HJ36" s="13"/>
      <c r="HK36" s="60"/>
      <c r="HL36" s="99"/>
      <c r="HN36" s="165"/>
      <c r="HO36" s="166"/>
      <c r="HP36" s="167"/>
      <c r="HQ36" s="168"/>
      <c r="HR36" s="169"/>
      <c r="HS36" s="170"/>
      <c r="HT36" s="171"/>
      <c r="HU36" s="172"/>
      <c r="HV36" s="173"/>
      <c r="HW36" s="11"/>
      <c r="HX36" s="11"/>
      <c r="HY36" s="11"/>
      <c r="HZ36" s="12"/>
      <c r="IA36" s="12"/>
      <c r="IB36" s="12"/>
      <c r="IC36" s="12"/>
      <c r="ID36" s="12"/>
      <c r="IE36" s="152"/>
      <c r="IF36" s="152"/>
      <c r="IG36" s="61"/>
      <c r="IH36" s="13"/>
      <c r="II36" s="13"/>
      <c r="IJ36" s="13"/>
      <c r="IK36" s="60"/>
      <c r="IL36" s="99"/>
      <c r="IN36" s="165"/>
      <c r="IO36" s="166"/>
      <c r="IP36" s="167"/>
      <c r="IQ36" s="168"/>
      <c r="IR36" s="169"/>
      <c r="IS36" s="170"/>
      <c r="IT36" s="171"/>
      <c r="IU36" s="172"/>
      <c r="IV36" s="173"/>
      <c r="IW36" s="11"/>
      <c r="IX36" s="11"/>
      <c r="IY36" s="11"/>
      <c r="IZ36" s="12"/>
      <c r="JA36" s="12"/>
      <c r="JB36" s="12"/>
      <c r="JC36" s="12"/>
      <c r="JD36" s="12"/>
      <c r="JE36" s="152"/>
      <c r="JF36" s="152"/>
      <c r="JG36" s="61"/>
      <c r="JH36" s="13"/>
      <c r="JI36" s="13"/>
      <c r="JJ36" s="13"/>
      <c r="JK36" s="60"/>
      <c r="JL36" s="99"/>
      <c r="JN36" s="165"/>
      <c r="JO36" s="166"/>
      <c r="JP36" s="167"/>
      <c r="JQ36" s="168"/>
      <c r="JR36" s="169"/>
      <c r="JS36" s="170"/>
      <c r="JT36" s="171"/>
      <c r="JU36" s="172"/>
      <c r="JV36" s="173"/>
      <c r="JW36" s="11"/>
      <c r="JX36" s="11"/>
      <c r="JY36" s="11"/>
      <c r="JZ36" s="12"/>
      <c r="KA36" s="12"/>
      <c r="KB36" s="12"/>
      <c r="KC36" s="12"/>
      <c r="KD36" s="12"/>
      <c r="KE36" s="152"/>
      <c r="KF36" s="152"/>
      <c r="KG36" s="61"/>
      <c r="KH36" s="13"/>
      <c r="KI36" s="13"/>
      <c r="KJ36" s="13"/>
      <c r="KK36" s="60"/>
      <c r="KL36" s="99"/>
      <c r="KN36" s="165"/>
      <c r="KO36" s="166"/>
      <c r="KP36" s="167"/>
      <c r="KQ36" s="168"/>
      <c r="KR36" s="169"/>
      <c r="KS36" s="170"/>
      <c r="KT36" s="171"/>
      <c r="KU36" s="172"/>
      <c r="KV36" s="173"/>
      <c r="KW36" s="11"/>
      <c r="KX36" s="11"/>
      <c r="KY36" s="11"/>
      <c r="KZ36" s="12"/>
      <c r="LA36" s="12"/>
      <c r="LB36" s="12"/>
      <c r="LC36" s="12"/>
      <c r="LD36" s="12"/>
      <c r="LE36" s="152"/>
      <c r="LF36" s="152"/>
      <c r="LG36" s="61"/>
      <c r="LH36" s="13"/>
      <c r="LI36" s="13"/>
      <c r="LJ36" s="13"/>
      <c r="LK36" s="60"/>
      <c r="LL36" s="99"/>
      <c r="LO36" s="238"/>
    </row>
    <row r="37" spans="1:327" ht="15.5" thickTop="1" thickBot="1" x14ac:dyDescent="0.4">
      <c r="A37" s="52"/>
      <c r="B37" s="69"/>
      <c r="C37" s="70"/>
      <c r="D37" s="71"/>
      <c r="E37" s="55"/>
      <c r="F37" s="56"/>
      <c r="G37" s="57"/>
      <c r="H37" s="59"/>
      <c r="I37" s="54"/>
      <c r="J37" s="59"/>
      <c r="K37" s="55"/>
      <c r="L37" s="67"/>
      <c r="M37" s="164"/>
      <c r="N37" s="163"/>
      <c r="O37" s="166"/>
      <c r="P37" s="167"/>
      <c r="Q37" s="163"/>
      <c r="R37" s="169"/>
      <c r="S37" s="170"/>
      <c r="T37" s="171"/>
      <c r="U37" s="172"/>
      <c r="V37" s="173"/>
      <c r="W37" s="174"/>
      <c r="X37" s="174"/>
      <c r="Y37" s="174"/>
      <c r="Z37" s="175"/>
      <c r="AA37" s="175"/>
      <c r="AB37" s="175"/>
      <c r="AC37" s="175"/>
      <c r="AD37" s="175"/>
      <c r="AE37" s="176"/>
      <c r="AF37" s="176"/>
      <c r="AG37" s="61"/>
      <c r="AH37" s="177"/>
      <c r="AI37" s="177"/>
      <c r="AJ37" s="177"/>
      <c r="AK37" s="178"/>
      <c r="AL37" s="179"/>
      <c r="AN37" s="165"/>
      <c r="AO37" s="166"/>
      <c r="AP37" s="167"/>
      <c r="AQ37" s="168"/>
      <c r="AR37" s="169"/>
      <c r="AS37" s="170"/>
      <c r="AT37" s="171"/>
      <c r="AU37" s="172"/>
      <c r="AV37" s="173"/>
      <c r="AW37" s="11"/>
      <c r="AX37" s="11"/>
      <c r="AY37" s="11"/>
      <c r="AZ37" s="12"/>
      <c r="BA37" s="12"/>
      <c r="BB37" s="12"/>
      <c r="BC37" s="12"/>
      <c r="BD37" s="12"/>
      <c r="BE37" s="152"/>
      <c r="BF37" s="152"/>
      <c r="BG37" s="61"/>
      <c r="BH37" s="13"/>
      <c r="BI37" s="13"/>
      <c r="BJ37" s="13"/>
      <c r="BK37" s="60"/>
      <c r="BL37" s="99"/>
      <c r="BM37" s="14"/>
      <c r="BN37" s="163"/>
      <c r="BO37" s="166"/>
      <c r="BP37" s="167"/>
      <c r="BQ37" s="64"/>
      <c r="BR37" s="169"/>
      <c r="BS37" s="170"/>
      <c r="BT37" s="171"/>
      <c r="BU37" s="172"/>
      <c r="BV37" s="173"/>
      <c r="BW37" s="11"/>
      <c r="BX37" s="11"/>
      <c r="BY37" s="11"/>
      <c r="BZ37" s="12"/>
      <c r="CA37" s="12"/>
      <c r="CB37" s="12"/>
      <c r="CC37" s="12"/>
      <c r="CD37" s="12"/>
      <c r="CE37" s="152"/>
      <c r="CF37" s="152"/>
      <c r="CG37" s="61"/>
      <c r="CH37" s="13"/>
      <c r="CI37" s="13"/>
      <c r="CJ37" s="13"/>
      <c r="CK37" s="60"/>
      <c r="CL37" s="99"/>
      <c r="CN37" s="165"/>
      <c r="CO37" s="166"/>
      <c r="CP37" s="167"/>
      <c r="CQ37" s="168"/>
      <c r="CR37" s="169"/>
      <c r="CS37" s="170"/>
      <c r="CT37" s="171"/>
      <c r="CU37" s="172"/>
      <c r="CV37" s="173"/>
      <c r="CW37" s="11"/>
      <c r="CX37" s="11"/>
      <c r="CY37" s="11"/>
      <c r="CZ37" s="12"/>
      <c r="DA37" s="12"/>
      <c r="DB37" s="12"/>
      <c r="DC37" s="12"/>
      <c r="DD37" s="12"/>
      <c r="DE37" s="152"/>
      <c r="DF37" s="152"/>
      <c r="DG37" s="61"/>
      <c r="DH37" s="13"/>
      <c r="DI37" s="13"/>
      <c r="DJ37" s="13"/>
      <c r="DK37" s="60"/>
      <c r="DL37" s="99"/>
      <c r="DN37" s="165"/>
      <c r="DO37" s="166"/>
      <c r="DP37" s="167"/>
      <c r="DQ37" s="168"/>
      <c r="DR37" s="169"/>
      <c r="DS37" s="170"/>
      <c r="DT37" s="171"/>
      <c r="DU37" s="172"/>
      <c r="DV37" s="173"/>
      <c r="DW37" s="11"/>
      <c r="DX37" s="11"/>
      <c r="DY37" s="11"/>
      <c r="DZ37" s="12"/>
      <c r="EA37" s="12"/>
      <c r="EB37" s="12"/>
      <c r="EC37" s="12"/>
      <c r="ED37" s="12"/>
      <c r="EE37" s="152"/>
      <c r="EF37" s="152"/>
      <c r="EG37" s="61"/>
      <c r="EH37" s="13"/>
      <c r="EI37" s="13"/>
      <c r="EJ37" s="13"/>
      <c r="EK37" s="60"/>
      <c r="EL37" s="99"/>
      <c r="EN37" s="165"/>
      <c r="EO37" s="166"/>
      <c r="EP37" s="167"/>
      <c r="EQ37" s="168"/>
      <c r="ER37" s="169"/>
      <c r="ES37" s="170"/>
      <c r="ET37" s="171"/>
      <c r="EU37" s="172"/>
      <c r="EV37" s="173"/>
      <c r="EW37" s="11"/>
      <c r="EX37" s="11"/>
      <c r="EY37" s="11"/>
      <c r="EZ37" s="12"/>
      <c r="FA37" s="12"/>
      <c r="FB37" s="12"/>
      <c r="FC37" s="12"/>
      <c r="FD37" s="12"/>
      <c r="FE37" s="152"/>
      <c r="FF37" s="152"/>
      <c r="FG37" s="61"/>
      <c r="FH37" s="13"/>
      <c r="FI37" s="13"/>
      <c r="FJ37" s="13"/>
      <c r="FK37" s="60"/>
      <c r="FL37" s="99"/>
      <c r="FN37" s="165"/>
      <c r="FO37" s="166"/>
      <c r="FP37" s="167"/>
      <c r="FQ37" s="168"/>
      <c r="FR37" s="169"/>
      <c r="FS37" s="170"/>
      <c r="FT37" s="171"/>
      <c r="FU37" s="172"/>
      <c r="FV37" s="173"/>
      <c r="FW37" s="11"/>
      <c r="FX37" s="11"/>
      <c r="FY37" s="11"/>
      <c r="FZ37" s="12"/>
      <c r="GA37" s="12"/>
      <c r="GB37" s="12"/>
      <c r="GC37" s="12"/>
      <c r="GD37" s="12"/>
      <c r="GE37" s="152"/>
      <c r="GF37" s="152"/>
      <c r="GG37" s="61"/>
      <c r="GH37" s="13"/>
      <c r="GI37" s="13"/>
      <c r="GJ37" s="13"/>
      <c r="GK37" s="60"/>
      <c r="GL37" s="99"/>
      <c r="GN37" s="165"/>
      <c r="GO37" s="166"/>
      <c r="GP37" s="167"/>
      <c r="GQ37" s="168"/>
      <c r="GR37" s="169"/>
      <c r="GS37" s="170"/>
      <c r="GT37" s="171"/>
      <c r="GU37" s="172"/>
      <c r="GV37" s="173"/>
      <c r="GW37" s="11"/>
      <c r="GX37" s="11"/>
      <c r="GY37" s="11"/>
      <c r="GZ37" s="12"/>
      <c r="HA37" s="12"/>
      <c r="HB37" s="12"/>
      <c r="HC37" s="12"/>
      <c r="HD37" s="12"/>
      <c r="HE37" s="152"/>
      <c r="HF37" s="152"/>
      <c r="HG37" s="61"/>
      <c r="HH37" s="13"/>
      <c r="HI37" s="13"/>
      <c r="HJ37" s="13"/>
      <c r="HK37" s="60"/>
      <c r="HL37" s="99"/>
      <c r="HN37" s="165"/>
      <c r="HO37" s="166"/>
      <c r="HP37" s="167"/>
      <c r="HQ37" s="168"/>
      <c r="HR37" s="169"/>
      <c r="HS37" s="170"/>
      <c r="HT37" s="171"/>
      <c r="HU37" s="172"/>
      <c r="HV37" s="173"/>
      <c r="HW37" s="11"/>
      <c r="HX37" s="11"/>
      <c r="HY37" s="11"/>
      <c r="HZ37" s="12"/>
      <c r="IA37" s="12"/>
      <c r="IB37" s="12"/>
      <c r="IC37" s="12"/>
      <c r="ID37" s="12"/>
      <c r="IE37" s="152"/>
      <c r="IF37" s="152"/>
      <c r="IG37" s="61"/>
      <c r="IH37" s="13"/>
      <c r="II37" s="13"/>
      <c r="IJ37" s="13"/>
      <c r="IK37" s="60"/>
      <c r="IL37" s="99"/>
      <c r="IN37" s="165"/>
      <c r="IO37" s="166"/>
      <c r="IP37" s="167"/>
      <c r="IQ37" s="168"/>
      <c r="IR37" s="169"/>
      <c r="IS37" s="170"/>
      <c r="IT37" s="171"/>
      <c r="IU37" s="172"/>
      <c r="IV37" s="173"/>
      <c r="IW37" s="11"/>
      <c r="IX37" s="11"/>
      <c r="IY37" s="11"/>
      <c r="IZ37" s="12"/>
      <c r="JA37" s="12"/>
      <c r="JB37" s="12"/>
      <c r="JC37" s="12"/>
      <c r="JD37" s="12"/>
      <c r="JE37" s="152"/>
      <c r="JF37" s="152"/>
      <c r="JG37" s="61"/>
      <c r="JH37" s="13"/>
      <c r="JI37" s="13"/>
      <c r="JJ37" s="13"/>
      <c r="JK37" s="60"/>
      <c r="JL37" s="99"/>
      <c r="JN37" s="165"/>
      <c r="JO37" s="166"/>
      <c r="JP37" s="167"/>
      <c r="JQ37" s="168"/>
      <c r="JR37" s="169"/>
      <c r="JS37" s="170"/>
      <c r="JT37" s="171"/>
      <c r="JU37" s="172"/>
      <c r="JV37" s="173"/>
      <c r="JW37" s="11"/>
      <c r="JX37" s="11"/>
      <c r="JY37" s="11"/>
      <c r="JZ37" s="12"/>
      <c r="KA37" s="12"/>
      <c r="KB37" s="12"/>
      <c r="KC37" s="12"/>
      <c r="KD37" s="12"/>
      <c r="KE37" s="152"/>
      <c r="KF37" s="152"/>
      <c r="KG37" s="61"/>
      <c r="KH37" s="13"/>
      <c r="KI37" s="13"/>
      <c r="KJ37" s="13"/>
      <c r="KK37" s="60"/>
      <c r="KL37" s="99"/>
      <c r="KN37" s="165"/>
      <c r="KO37" s="166"/>
      <c r="KP37" s="167"/>
      <c r="KQ37" s="168"/>
      <c r="KR37" s="169"/>
      <c r="KS37" s="170"/>
      <c r="KT37" s="171"/>
      <c r="KU37" s="172"/>
      <c r="KV37" s="173"/>
      <c r="KW37" s="11"/>
      <c r="KX37" s="11"/>
      <c r="KY37" s="11"/>
      <c r="KZ37" s="12"/>
      <c r="LA37" s="12"/>
      <c r="LB37" s="12"/>
      <c r="LC37" s="12"/>
      <c r="LD37" s="12"/>
      <c r="LE37" s="152"/>
      <c r="LF37" s="152"/>
      <c r="LG37" s="61"/>
      <c r="LH37" s="13"/>
      <c r="LI37" s="13"/>
      <c r="LJ37" s="13"/>
      <c r="LK37" s="60"/>
      <c r="LL37" s="99"/>
      <c r="LO37" s="238"/>
    </row>
    <row r="38" spans="1:327" ht="15.5" thickTop="1" thickBot="1" x14ac:dyDescent="0.4">
      <c r="A38" s="52"/>
      <c r="B38" s="69"/>
      <c r="C38" s="285"/>
      <c r="D38" s="71"/>
      <c r="E38" s="281"/>
      <c r="F38" s="56"/>
      <c r="G38" s="129"/>
      <c r="H38" s="59"/>
      <c r="I38" s="54"/>
      <c r="J38" s="59"/>
      <c r="K38" s="55"/>
      <c r="L38" s="67"/>
      <c r="M38" s="164"/>
      <c r="N38" s="163"/>
      <c r="O38" s="166"/>
      <c r="P38" s="167"/>
      <c r="Q38" s="163"/>
      <c r="R38" s="169"/>
      <c r="S38" s="170"/>
      <c r="T38" s="171"/>
      <c r="U38" s="172"/>
      <c r="V38" s="173"/>
      <c r="W38" s="174"/>
      <c r="X38" s="174"/>
      <c r="Y38" s="174"/>
      <c r="Z38" s="175"/>
      <c r="AA38" s="175"/>
      <c r="AB38" s="175"/>
      <c r="AC38" s="175"/>
      <c r="AD38" s="175"/>
      <c r="AE38" s="176"/>
      <c r="AF38" s="176"/>
      <c r="AG38" s="61"/>
      <c r="AH38" s="177"/>
      <c r="AI38" s="177"/>
      <c r="AJ38" s="177"/>
      <c r="AK38" s="178"/>
      <c r="AL38" s="179"/>
      <c r="AN38" s="165"/>
      <c r="AO38" s="166"/>
      <c r="AP38" s="167"/>
      <c r="AQ38" s="168"/>
      <c r="AR38" s="169"/>
      <c r="AS38" s="170"/>
      <c r="AT38" s="171"/>
      <c r="AU38" s="172"/>
      <c r="AV38" s="173"/>
      <c r="AW38" s="11"/>
      <c r="AX38" s="11"/>
      <c r="AY38" s="11"/>
      <c r="AZ38" s="12"/>
      <c r="BA38" s="12"/>
      <c r="BB38" s="12"/>
      <c r="BC38" s="12"/>
      <c r="BD38" s="12"/>
      <c r="BE38" s="152"/>
      <c r="BF38" s="152"/>
      <c r="BG38" s="61"/>
      <c r="BH38" s="13"/>
      <c r="BI38" s="13"/>
      <c r="BJ38" s="13"/>
      <c r="BK38" s="60"/>
      <c r="BL38" s="99"/>
      <c r="BM38" s="14"/>
      <c r="BN38" s="163"/>
      <c r="BO38" s="166"/>
      <c r="BP38" s="167"/>
      <c r="BQ38" s="64"/>
      <c r="BR38" s="169"/>
      <c r="BS38" s="170"/>
      <c r="BT38" s="171"/>
      <c r="BU38" s="172"/>
      <c r="BV38" s="173"/>
      <c r="BW38" s="11"/>
      <c r="BX38" s="11"/>
      <c r="BY38" s="11"/>
      <c r="BZ38" s="12"/>
      <c r="CA38" s="12"/>
      <c r="CB38" s="12"/>
      <c r="CC38" s="12"/>
      <c r="CD38" s="12"/>
      <c r="CE38" s="152"/>
      <c r="CF38" s="152"/>
      <c r="CG38" s="61"/>
      <c r="CH38" s="13"/>
      <c r="CI38" s="13"/>
      <c r="CJ38" s="13"/>
      <c r="CK38" s="60"/>
      <c r="CL38" s="99"/>
      <c r="CN38" s="165"/>
      <c r="CO38" s="166"/>
      <c r="CP38" s="167"/>
      <c r="CQ38" s="168"/>
      <c r="CR38" s="169"/>
      <c r="CS38" s="170"/>
      <c r="CT38" s="171"/>
      <c r="CU38" s="172"/>
      <c r="CV38" s="173"/>
      <c r="CW38" s="11"/>
      <c r="CX38" s="11"/>
      <c r="CY38" s="11"/>
      <c r="CZ38" s="12"/>
      <c r="DA38" s="12"/>
      <c r="DB38" s="12"/>
      <c r="DC38" s="12"/>
      <c r="DD38" s="12"/>
      <c r="DE38" s="152"/>
      <c r="DF38" s="152"/>
      <c r="DG38" s="61"/>
      <c r="DH38" s="13"/>
      <c r="DI38" s="13"/>
      <c r="DJ38" s="13"/>
      <c r="DK38" s="60"/>
      <c r="DL38" s="99"/>
      <c r="DN38" s="165"/>
      <c r="DO38" s="166"/>
      <c r="DP38" s="167"/>
      <c r="DQ38" s="168"/>
      <c r="DR38" s="169"/>
      <c r="DS38" s="170"/>
      <c r="DT38" s="171"/>
      <c r="DU38" s="172"/>
      <c r="DV38" s="173"/>
      <c r="DW38" s="11"/>
      <c r="DX38" s="11"/>
      <c r="DY38" s="11"/>
      <c r="DZ38" s="12"/>
      <c r="EA38" s="12"/>
      <c r="EB38" s="12"/>
      <c r="EC38" s="12"/>
      <c r="ED38" s="12"/>
      <c r="EE38" s="152"/>
      <c r="EF38" s="152"/>
      <c r="EG38" s="61"/>
      <c r="EH38" s="13"/>
      <c r="EI38" s="13"/>
      <c r="EJ38" s="13"/>
      <c r="EK38" s="60"/>
      <c r="EL38" s="99"/>
      <c r="EN38" s="165"/>
      <c r="EO38" s="166"/>
      <c r="EP38" s="167"/>
      <c r="EQ38" s="168"/>
      <c r="ER38" s="169"/>
      <c r="ES38" s="170"/>
      <c r="ET38" s="171"/>
      <c r="EU38" s="172"/>
      <c r="EV38" s="173"/>
      <c r="EW38" s="11"/>
      <c r="EX38" s="11"/>
      <c r="EY38" s="11"/>
      <c r="EZ38" s="12"/>
      <c r="FA38" s="12"/>
      <c r="FB38" s="12"/>
      <c r="FC38" s="12"/>
      <c r="FD38" s="12"/>
      <c r="FE38" s="152"/>
      <c r="FF38" s="152"/>
      <c r="FG38" s="61"/>
      <c r="FH38" s="13"/>
      <c r="FI38" s="13"/>
      <c r="FJ38" s="13"/>
      <c r="FK38" s="60"/>
      <c r="FL38" s="99"/>
      <c r="FN38" s="165"/>
      <c r="FO38" s="166"/>
      <c r="FP38" s="167"/>
      <c r="FQ38" s="168"/>
      <c r="FR38" s="169"/>
      <c r="FS38" s="170"/>
      <c r="FT38" s="171"/>
      <c r="FU38" s="172"/>
      <c r="FV38" s="173"/>
      <c r="FW38" s="11"/>
      <c r="FX38" s="11"/>
      <c r="FY38" s="11"/>
      <c r="FZ38" s="12"/>
      <c r="GA38" s="12"/>
      <c r="GB38" s="12"/>
      <c r="GC38" s="12"/>
      <c r="GD38" s="12"/>
      <c r="GE38" s="152"/>
      <c r="GF38" s="152"/>
      <c r="GG38" s="61"/>
      <c r="GH38" s="13"/>
      <c r="GI38" s="13"/>
      <c r="GJ38" s="13"/>
      <c r="GK38" s="60"/>
      <c r="GL38" s="99"/>
      <c r="GN38" s="165"/>
      <c r="GO38" s="166"/>
      <c r="GP38" s="167"/>
      <c r="GQ38" s="168"/>
      <c r="GR38" s="169"/>
      <c r="GS38" s="170"/>
      <c r="GT38" s="171"/>
      <c r="GU38" s="172"/>
      <c r="GV38" s="173"/>
      <c r="GW38" s="11"/>
      <c r="GX38" s="11"/>
      <c r="GY38" s="11"/>
      <c r="GZ38" s="12"/>
      <c r="HA38" s="12"/>
      <c r="HB38" s="12"/>
      <c r="HC38" s="12"/>
      <c r="HD38" s="12"/>
      <c r="HE38" s="152"/>
      <c r="HF38" s="152"/>
      <c r="HG38" s="61"/>
      <c r="HH38" s="13"/>
      <c r="HI38" s="13"/>
      <c r="HJ38" s="13"/>
      <c r="HK38" s="60"/>
      <c r="HL38" s="99"/>
      <c r="HN38" s="165"/>
      <c r="HO38" s="166"/>
      <c r="HP38" s="167"/>
      <c r="HQ38" s="168"/>
      <c r="HR38" s="169"/>
      <c r="HS38" s="170"/>
      <c r="HT38" s="171"/>
      <c r="HU38" s="172"/>
      <c r="HV38" s="173"/>
      <c r="HW38" s="11"/>
      <c r="HX38" s="11"/>
      <c r="HY38" s="11"/>
      <c r="HZ38" s="12"/>
      <c r="IA38" s="12"/>
      <c r="IB38" s="12"/>
      <c r="IC38" s="12"/>
      <c r="ID38" s="12"/>
      <c r="IE38" s="152"/>
      <c r="IF38" s="152"/>
      <c r="IG38" s="61"/>
      <c r="IH38" s="13"/>
      <c r="II38" s="13"/>
      <c r="IJ38" s="13"/>
      <c r="IK38" s="60"/>
      <c r="IL38" s="99"/>
      <c r="IN38" s="165"/>
      <c r="IO38" s="166"/>
      <c r="IP38" s="167"/>
      <c r="IQ38" s="168"/>
      <c r="IR38" s="169"/>
      <c r="IS38" s="170"/>
      <c r="IT38" s="171"/>
      <c r="IU38" s="172"/>
      <c r="IV38" s="173"/>
      <c r="IW38" s="11"/>
      <c r="IX38" s="11"/>
      <c r="IY38" s="11"/>
      <c r="IZ38" s="12"/>
      <c r="JA38" s="12"/>
      <c r="JB38" s="12"/>
      <c r="JC38" s="12"/>
      <c r="JD38" s="12"/>
      <c r="JE38" s="152"/>
      <c r="JF38" s="152"/>
      <c r="JG38" s="61"/>
      <c r="JH38" s="13"/>
      <c r="JI38" s="13"/>
      <c r="JJ38" s="13"/>
      <c r="JK38" s="60"/>
      <c r="JL38" s="99"/>
      <c r="JN38" s="165"/>
      <c r="JO38" s="166"/>
      <c r="JP38" s="167"/>
      <c r="JQ38" s="168"/>
      <c r="JR38" s="169"/>
      <c r="JS38" s="170"/>
      <c r="JT38" s="171"/>
      <c r="JU38" s="172"/>
      <c r="JV38" s="173"/>
      <c r="JW38" s="11"/>
      <c r="JX38" s="11"/>
      <c r="JY38" s="11"/>
      <c r="JZ38" s="12"/>
      <c r="KA38" s="12"/>
      <c r="KB38" s="12"/>
      <c r="KC38" s="12"/>
      <c r="KD38" s="12"/>
      <c r="KE38" s="152"/>
      <c r="KF38" s="152"/>
      <c r="KG38" s="61"/>
      <c r="KH38" s="13"/>
      <c r="KI38" s="13"/>
      <c r="KJ38" s="13"/>
      <c r="KK38" s="60"/>
      <c r="KL38" s="99"/>
      <c r="KN38" s="165"/>
      <c r="KO38" s="166"/>
      <c r="KP38" s="167"/>
      <c r="KQ38" s="168"/>
      <c r="KR38" s="169"/>
      <c r="KS38" s="170"/>
      <c r="KT38" s="171"/>
      <c r="KU38" s="172"/>
      <c r="KV38" s="173"/>
      <c r="KW38" s="11"/>
      <c r="KX38" s="11"/>
      <c r="KY38" s="11"/>
      <c r="KZ38" s="12"/>
      <c r="LA38" s="12"/>
      <c r="LB38" s="12"/>
      <c r="LC38" s="12"/>
      <c r="LD38" s="12"/>
      <c r="LE38" s="152"/>
      <c r="LF38" s="152"/>
      <c r="LG38" s="61"/>
      <c r="LH38" s="13"/>
      <c r="LI38" s="13"/>
      <c r="LJ38" s="13"/>
      <c r="LK38" s="60"/>
      <c r="LL38" s="99"/>
      <c r="LO38" s="238"/>
    </row>
    <row r="39" spans="1:327" ht="15.5" thickTop="1" thickBot="1" x14ac:dyDescent="0.4">
      <c r="A39" s="52"/>
      <c r="B39" s="69"/>
      <c r="C39" s="70"/>
      <c r="D39" s="71"/>
      <c r="E39" s="55"/>
      <c r="F39" s="56"/>
      <c r="G39" s="57"/>
      <c r="H39" s="59"/>
      <c r="I39" s="54"/>
      <c r="J39" s="59"/>
      <c r="K39" s="55"/>
      <c r="L39" s="67"/>
      <c r="M39" s="164"/>
      <c r="N39" s="163"/>
      <c r="O39" s="166"/>
      <c r="P39" s="167"/>
      <c r="Q39" s="163"/>
      <c r="R39" s="169"/>
      <c r="S39" s="170"/>
      <c r="T39" s="171"/>
      <c r="U39" s="172"/>
      <c r="V39" s="173"/>
      <c r="W39" s="174"/>
      <c r="X39" s="174"/>
      <c r="Y39" s="174"/>
      <c r="Z39" s="175"/>
      <c r="AA39" s="175"/>
      <c r="AB39" s="175"/>
      <c r="AC39" s="175"/>
      <c r="AD39" s="175"/>
      <c r="AE39" s="176"/>
      <c r="AF39" s="176"/>
      <c r="AG39" s="61"/>
      <c r="AH39" s="177"/>
      <c r="AI39" s="177"/>
      <c r="AJ39" s="177"/>
      <c r="AK39" s="178"/>
      <c r="AL39" s="179"/>
      <c r="AN39" s="165"/>
      <c r="AO39" s="166"/>
      <c r="AP39" s="167"/>
      <c r="AQ39" s="168"/>
      <c r="AR39" s="169"/>
      <c r="AS39" s="170"/>
      <c r="AT39" s="171"/>
      <c r="AU39" s="172"/>
      <c r="AV39" s="173"/>
      <c r="AW39" s="11"/>
      <c r="AX39" s="11"/>
      <c r="AY39" s="11"/>
      <c r="AZ39" s="12"/>
      <c r="BA39" s="12"/>
      <c r="BB39" s="12"/>
      <c r="BC39" s="12"/>
      <c r="BD39" s="12"/>
      <c r="BE39" s="152"/>
      <c r="BF39" s="152"/>
      <c r="BG39" s="61"/>
      <c r="BH39" s="13"/>
      <c r="BI39" s="13"/>
      <c r="BJ39" s="13"/>
      <c r="BK39" s="60"/>
      <c r="BL39" s="99"/>
      <c r="BM39" s="14"/>
      <c r="BN39" s="163"/>
      <c r="BO39" s="166"/>
      <c r="BP39" s="167"/>
      <c r="BQ39" s="64"/>
      <c r="BR39" s="169"/>
      <c r="BS39" s="170"/>
      <c r="BT39" s="171"/>
      <c r="BU39" s="172"/>
      <c r="BV39" s="173"/>
      <c r="BW39" s="11"/>
      <c r="BX39" s="11"/>
      <c r="BY39" s="11"/>
      <c r="BZ39" s="12"/>
      <c r="CA39" s="12"/>
      <c r="CB39" s="12"/>
      <c r="CC39" s="12"/>
      <c r="CD39" s="12"/>
      <c r="CE39" s="152"/>
      <c r="CF39" s="152"/>
      <c r="CG39" s="61"/>
      <c r="CH39" s="13"/>
      <c r="CI39" s="13"/>
      <c r="CJ39" s="13"/>
      <c r="CK39" s="60"/>
      <c r="CL39" s="99"/>
      <c r="CN39" s="165"/>
      <c r="CO39" s="166"/>
      <c r="CP39" s="167"/>
      <c r="CQ39" s="168"/>
      <c r="CR39" s="169"/>
      <c r="CS39" s="170"/>
      <c r="CT39" s="171"/>
      <c r="CU39" s="172"/>
      <c r="CV39" s="173"/>
      <c r="CW39" s="11"/>
      <c r="CX39" s="11"/>
      <c r="CY39" s="11"/>
      <c r="CZ39" s="12"/>
      <c r="DA39" s="12"/>
      <c r="DB39" s="12"/>
      <c r="DC39" s="12"/>
      <c r="DD39" s="12"/>
      <c r="DE39" s="152"/>
      <c r="DF39" s="152"/>
      <c r="DG39" s="61"/>
      <c r="DH39" s="13"/>
      <c r="DI39" s="13"/>
      <c r="DJ39" s="13"/>
      <c r="DK39" s="60"/>
      <c r="DL39" s="99"/>
      <c r="DN39" s="165"/>
      <c r="DO39" s="166"/>
      <c r="DP39" s="167"/>
      <c r="DQ39" s="168"/>
      <c r="DR39" s="169"/>
      <c r="DS39" s="170"/>
      <c r="DT39" s="171"/>
      <c r="DU39" s="172"/>
      <c r="DV39" s="173"/>
      <c r="DW39" s="11"/>
      <c r="DX39" s="11"/>
      <c r="DY39" s="11"/>
      <c r="DZ39" s="12"/>
      <c r="EA39" s="12"/>
      <c r="EB39" s="12"/>
      <c r="EC39" s="12"/>
      <c r="ED39" s="12"/>
      <c r="EE39" s="152"/>
      <c r="EF39" s="152"/>
      <c r="EG39" s="61"/>
      <c r="EH39" s="13"/>
      <c r="EI39" s="13"/>
      <c r="EJ39" s="13"/>
      <c r="EK39" s="60"/>
      <c r="EL39" s="99"/>
      <c r="EN39" s="165"/>
      <c r="EO39" s="166"/>
      <c r="EP39" s="167"/>
      <c r="EQ39" s="168"/>
      <c r="ER39" s="169"/>
      <c r="ES39" s="170"/>
      <c r="ET39" s="171"/>
      <c r="EU39" s="172"/>
      <c r="EV39" s="173"/>
      <c r="EW39" s="11"/>
      <c r="EX39" s="11"/>
      <c r="EY39" s="11"/>
      <c r="EZ39" s="12"/>
      <c r="FA39" s="12"/>
      <c r="FB39" s="12"/>
      <c r="FC39" s="12"/>
      <c r="FD39" s="12"/>
      <c r="FE39" s="152"/>
      <c r="FF39" s="152"/>
      <c r="FG39" s="61"/>
      <c r="FH39" s="13"/>
      <c r="FI39" s="13"/>
      <c r="FJ39" s="13"/>
      <c r="FK39" s="60"/>
      <c r="FL39" s="99"/>
      <c r="FN39" s="165"/>
      <c r="FO39" s="166"/>
      <c r="FP39" s="167"/>
      <c r="FQ39" s="168"/>
      <c r="FR39" s="169"/>
      <c r="FS39" s="170"/>
      <c r="FT39" s="171"/>
      <c r="FU39" s="172"/>
      <c r="FV39" s="173"/>
      <c r="FW39" s="11"/>
      <c r="FX39" s="11"/>
      <c r="FY39" s="11"/>
      <c r="FZ39" s="12"/>
      <c r="GA39" s="12"/>
      <c r="GB39" s="12"/>
      <c r="GC39" s="12"/>
      <c r="GD39" s="12"/>
      <c r="GE39" s="152"/>
      <c r="GF39" s="152"/>
      <c r="GG39" s="61"/>
      <c r="GH39" s="13"/>
      <c r="GI39" s="13"/>
      <c r="GJ39" s="13"/>
      <c r="GK39" s="60"/>
      <c r="GL39" s="99"/>
      <c r="GN39" s="165"/>
      <c r="GO39" s="166"/>
      <c r="GP39" s="167"/>
      <c r="GQ39" s="168"/>
      <c r="GR39" s="169"/>
      <c r="GS39" s="170"/>
      <c r="GT39" s="171"/>
      <c r="GU39" s="172"/>
      <c r="GV39" s="173"/>
      <c r="GW39" s="11"/>
      <c r="GX39" s="11"/>
      <c r="GY39" s="11"/>
      <c r="GZ39" s="12"/>
      <c r="HA39" s="12"/>
      <c r="HB39" s="12"/>
      <c r="HC39" s="12"/>
      <c r="HD39" s="12"/>
      <c r="HE39" s="152"/>
      <c r="HF39" s="152"/>
      <c r="HG39" s="61"/>
      <c r="HH39" s="13"/>
      <c r="HI39" s="13"/>
      <c r="HJ39" s="13"/>
      <c r="HK39" s="60"/>
      <c r="HL39" s="99"/>
      <c r="HN39" s="165"/>
      <c r="HO39" s="166"/>
      <c r="HP39" s="167"/>
      <c r="HQ39" s="168"/>
      <c r="HR39" s="169"/>
      <c r="HS39" s="170"/>
      <c r="HT39" s="171"/>
      <c r="HU39" s="172"/>
      <c r="HV39" s="173"/>
      <c r="HW39" s="11"/>
      <c r="HX39" s="11"/>
      <c r="HY39" s="11"/>
      <c r="HZ39" s="12"/>
      <c r="IA39" s="12"/>
      <c r="IB39" s="12"/>
      <c r="IC39" s="12"/>
      <c r="ID39" s="12"/>
      <c r="IE39" s="152"/>
      <c r="IF39" s="152"/>
      <c r="IG39" s="61"/>
      <c r="IH39" s="13"/>
      <c r="II39" s="13"/>
      <c r="IJ39" s="13"/>
      <c r="IK39" s="60"/>
      <c r="IL39" s="99"/>
      <c r="IN39" s="165"/>
      <c r="IO39" s="166"/>
      <c r="IP39" s="167"/>
      <c r="IQ39" s="168"/>
      <c r="IR39" s="169"/>
      <c r="IS39" s="170"/>
      <c r="IT39" s="171"/>
      <c r="IU39" s="172"/>
      <c r="IV39" s="173"/>
      <c r="IW39" s="11"/>
      <c r="IX39" s="11"/>
      <c r="IY39" s="11"/>
      <c r="IZ39" s="12"/>
      <c r="JA39" s="12"/>
      <c r="JB39" s="12"/>
      <c r="JC39" s="12"/>
      <c r="JD39" s="12"/>
      <c r="JE39" s="152"/>
      <c r="JF39" s="152"/>
      <c r="JG39" s="61"/>
      <c r="JH39" s="13"/>
      <c r="JI39" s="13"/>
      <c r="JJ39" s="13"/>
      <c r="JK39" s="60"/>
      <c r="JL39" s="99"/>
      <c r="JN39" s="165"/>
      <c r="JO39" s="166"/>
      <c r="JP39" s="167"/>
      <c r="JQ39" s="168"/>
      <c r="JR39" s="169"/>
      <c r="JS39" s="170"/>
      <c r="JT39" s="171"/>
      <c r="JU39" s="172"/>
      <c r="JV39" s="173"/>
      <c r="JW39" s="11"/>
      <c r="JX39" s="11"/>
      <c r="JY39" s="11"/>
      <c r="JZ39" s="12"/>
      <c r="KA39" s="12"/>
      <c r="KB39" s="12"/>
      <c r="KC39" s="12"/>
      <c r="KD39" s="12"/>
      <c r="KE39" s="152"/>
      <c r="KF39" s="152"/>
      <c r="KG39" s="61"/>
      <c r="KH39" s="13"/>
      <c r="KI39" s="13"/>
      <c r="KJ39" s="13"/>
      <c r="KK39" s="60"/>
      <c r="KL39" s="99"/>
      <c r="KN39" s="165"/>
      <c r="KO39" s="166"/>
      <c r="KP39" s="167"/>
      <c r="KQ39" s="168"/>
      <c r="KR39" s="169"/>
      <c r="KS39" s="170"/>
      <c r="KT39" s="171"/>
      <c r="KU39" s="172"/>
      <c r="KV39" s="173"/>
      <c r="KW39" s="11"/>
      <c r="KX39" s="11"/>
      <c r="KY39" s="11"/>
      <c r="KZ39" s="12"/>
      <c r="LA39" s="12"/>
      <c r="LB39" s="12"/>
      <c r="LC39" s="12"/>
      <c r="LD39" s="12"/>
      <c r="LE39" s="152"/>
      <c r="LF39" s="152"/>
      <c r="LG39" s="61"/>
      <c r="LH39" s="13"/>
      <c r="LI39" s="13"/>
      <c r="LJ39" s="13"/>
      <c r="LK39" s="60"/>
      <c r="LL39" s="99"/>
      <c r="LO39" s="238"/>
    </row>
    <row r="40" spans="1:327" ht="15.5" thickTop="1" thickBot="1" x14ac:dyDescent="0.4">
      <c r="A40" s="52"/>
      <c r="B40" s="69"/>
      <c r="C40" s="285"/>
      <c r="D40" s="71"/>
      <c r="E40" s="281"/>
      <c r="F40" s="56"/>
      <c r="G40" s="129"/>
      <c r="H40" s="59"/>
      <c r="I40" s="54"/>
      <c r="J40" s="59"/>
      <c r="K40" s="55"/>
      <c r="L40" s="67"/>
      <c r="M40" s="164"/>
      <c r="N40" s="163"/>
      <c r="O40" s="166"/>
      <c r="P40" s="167"/>
      <c r="Q40" s="163"/>
      <c r="R40" s="169"/>
      <c r="S40" s="170"/>
      <c r="T40" s="171"/>
      <c r="U40" s="172"/>
      <c r="V40" s="173"/>
      <c r="W40" s="174"/>
      <c r="X40" s="174"/>
      <c r="Y40" s="174"/>
      <c r="Z40" s="175"/>
      <c r="AA40" s="175"/>
      <c r="AB40" s="175"/>
      <c r="AC40" s="175"/>
      <c r="AD40" s="175"/>
      <c r="AE40" s="176"/>
      <c r="AF40" s="176"/>
      <c r="AG40" s="61"/>
      <c r="AH40" s="177"/>
      <c r="AI40" s="177"/>
      <c r="AJ40" s="177"/>
      <c r="AK40" s="178"/>
      <c r="AL40" s="179"/>
      <c r="AN40" s="165"/>
      <c r="AO40" s="166"/>
      <c r="AP40" s="167"/>
      <c r="AQ40" s="168"/>
      <c r="AR40" s="169"/>
      <c r="AS40" s="170"/>
      <c r="AT40" s="171"/>
      <c r="AU40" s="172"/>
      <c r="AV40" s="173"/>
      <c r="AW40" s="11"/>
      <c r="AX40" s="11"/>
      <c r="AY40" s="11"/>
      <c r="AZ40" s="12"/>
      <c r="BA40" s="12"/>
      <c r="BB40" s="12"/>
      <c r="BC40" s="12"/>
      <c r="BD40" s="12"/>
      <c r="BE40" s="152"/>
      <c r="BF40" s="152"/>
      <c r="BG40" s="61"/>
      <c r="BH40" s="13"/>
      <c r="BI40" s="13"/>
      <c r="BJ40" s="13"/>
      <c r="BK40" s="60"/>
      <c r="BL40" s="99"/>
      <c r="BM40" s="14"/>
      <c r="BN40" s="163"/>
      <c r="BO40" s="166"/>
      <c r="BP40" s="167"/>
      <c r="BQ40" s="168"/>
      <c r="BR40" s="169"/>
      <c r="BS40" s="170"/>
      <c r="BT40" s="171"/>
      <c r="BU40" s="172"/>
      <c r="BV40" s="173"/>
      <c r="BW40" s="11"/>
      <c r="BX40" s="11"/>
      <c r="BY40" s="11"/>
      <c r="BZ40" s="12"/>
      <c r="CA40" s="12"/>
      <c r="CB40" s="12"/>
      <c r="CC40" s="12"/>
      <c r="CD40" s="12"/>
      <c r="CE40" s="152"/>
      <c r="CF40" s="152"/>
      <c r="CG40" s="61"/>
      <c r="CH40" s="13"/>
      <c r="CI40" s="13"/>
      <c r="CJ40" s="13"/>
      <c r="CK40" s="60"/>
      <c r="CL40" s="99"/>
      <c r="CN40" s="165"/>
      <c r="CO40" s="166"/>
      <c r="CP40" s="167"/>
      <c r="CQ40" s="168"/>
      <c r="CR40" s="169"/>
      <c r="CS40" s="170"/>
      <c r="CT40" s="171"/>
      <c r="CU40" s="172"/>
      <c r="CV40" s="173"/>
      <c r="CW40" s="11"/>
      <c r="CX40" s="11"/>
      <c r="CY40" s="11"/>
      <c r="CZ40" s="12"/>
      <c r="DA40" s="12"/>
      <c r="DB40" s="12"/>
      <c r="DC40" s="12"/>
      <c r="DD40" s="12"/>
      <c r="DE40" s="152"/>
      <c r="DF40" s="152"/>
      <c r="DG40" s="61"/>
      <c r="DH40" s="13"/>
      <c r="DI40" s="13"/>
      <c r="DJ40" s="13"/>
      <c r="DK40" s="60"/>
      <c r="DL40" s="99"/>
      <c r="DN40" s="165"/>
      <c r="DO40" s="166"/>
      <c r="DP40" s="167"/>
      <c r="DQ40" s="168"/>
      <c r="DR40" s="169"/>
      <c r="DS40" s="170"/>
      <c r="DT40" s="171"/>
      <c r="DU40" s="172"/>
      <c r="DV40" s="173"/>
      <c r="DW40" s="11"/>
      <c r="DX40" s="11"/>
      <c r="DY40" s="11"/>
      <c r="DZ40" s="12"/>
      <c r="EA40" s="12"/>
      <c r="EB40" s="12"/>
      <c r="EC40" s="12"/>
      <c r="ED40" s="12"/>
      <c r="EE40" s="152"/>
      <c r="EF40" s="152"/>
      <c r="EG40" s="61"/>
      <c r="EH40" s="13"/>
      <c r="EI40" s="13"/>
      <c r="EJ40" s="13"/>
      <c r="EK40" s="60"/>
      <c r="EL40" s="99"/>
      <c r="EN40" s="165"/>
      <c r="EO40" s="166"/>
      <c r="EP40" s="167"/>
      <c r="EQ40" s="168"/>
      <c r="ER40" s="169"/>
      <c r="ES40" s="170"/>
      <c r="ET40" s="171"/>
      <c r="EU40" s="172"/>
      <c r="EV40" s="173"/>
      <c r="EW40" s="11"/>
      <c r="EX40" s="11"/>
      <c r="EY40" s="11"/>
      <c r="EZ40" s="12"/>
      <c r="FA40" s="12"/>
      <c r="FB40" s="12"/>
      <c r="FC40" s="12"/>
      <c r="FD40" s="12"/>
      <c r="FE40" s="152"/>
      <c r="FF40" s="152"/>
      <c r="FG40" s="61"/>
      <c r="FH40" s="13"/>
      <c r="FI40" s="13"/>
      <c r="FJ40" s="13"/>
      <c r="FK40" s="60"/>
      <c r="FL40" s="99"/>
      <c r="FN40" s="165"/>
      <c r="FO40" s="166"/>
      <c r="FP40" s="167"/>
      <c r="FQ40" s="168"/>
      <c r="FR40" s="169"/>
      <c r="FS40" s="170"/>
      <c r="FT40" s="171"/>
      <c r="FU40" s="172"/>
      <c r="FV40" s="173"/>
      <c r="FW40" s="11"/>
      <c r="FX40" s="11"/>
      <c r="FY40" s="11"/>
      <c r="FZ40" s="12"/>
      <c r="GA40" s="12"/>
      <c r="GB40" s="12"/>
      <c r="GC40" s="12"/>
      <c r="GD40" s="12"/>
      <c r="GE40" s="152"/>
      <c r="GF40" s="152"/>
      <c r="GG40" s="61"/>
      <c r="GH40" s="13"/>
      <c r="GI40" s="13"/>
      <c r="GJ40" s="13"/>
      <c r="GK40" s="60"/>
      <c r="GL40" s="99"/>
      <c r="GN40" s="165"/>
      <c r="GO40" s="166"/>
      <c r="GP40" s="167"/>
      <c r="GQ40" s="168"/>
      <c r="GR40" s="169"/>
      <c r="GS40" s="170"/>
      <c r="GT40" s="171"/>
      <c r="GU40" s="172"/>
      <c r="GV40" s="173"/>
      <c r="GW40" s="11"/>
      <c r="GX40" s="11"/>
      <c r="GY40" s="11"/>
      <c r="GZ40" s="12"/>
      <c r="HA40" s="12"/>
      <c r="HB40" s="12"/>
      <c r="HC40" s="12"/>
      <c r="HD40" s="12"/>
      <c r="HE40" s="152"/>
      <c r="HF40" s="152"/>
      <c r="HG40" s="61"/>
      <c r="HH40" s="13"/>
      <c r="HI40" s="13"/>
      <c r="HJ40" s="13"/>
      <c r="HK40" s="60"/>
      <c r="HL40" s="99"/>
      <c r="HN40" s="165"/>
      <c r="HO40" s="166"/>
      <c r="HP40" s="167"/>
      <c r="HQ40" s="168"/>
      <c r="HR40" s="169"/>
      <c r="HS40" s="170"/>
      <c r="HT40" s="171"/>
      <c r="HU40" s="172"/>
      <c r="HV40" s="173"/>
      <c r="HW40" s="11"/>
      <c r="HX40" s="11"/>
      <c r="HY40" s="11"/>
      <c r="HZ40" s="12"/>
      <c r="IA40" s="12"/>
      <c r="IB40" s="12"/>
      <c r="IC40" s="12"/>
      <c r="ID40" s="12"/>
      <c r="IE40" s="152"/>
      <c r="IF40" s="152"/>
      <c r="IG40" s="61"/>
      <c r="IH40" s="13"/>
      <c r="II40" s="13"/>
      <c r="IJ40" s="13"/>
      <c r="IK40" s="60"/>
      <c r="IL40" s="99"/>
      <c r="IN40" s="165"/>
      <c r="IO40" s="166"/>
      <c r="IP40" s="167"/>
      <c r="IQ40" s="168"/>
      <c r="IR40" s="169"/>
      <c r="IS40" s="170"/>
      <c r="IT40" s="171"/>
      <c r="IU40" s="172"/>
      <c r="IV40" s="173"/>
      <c r="IW40" s="11"/>
      <c r="IX40" s="11"/>
      <c r="IY40" s="11"/>
      <c r="IZ40" s="12"/>
      <c r="JA40" s="12"/>
      <c r="JB40" s="12"/>
      <c r="JC40" s="12"/>
      <c r="JD40" s="12"/>
      <c r="JE40" s="152"/>
      <c r="JF40" s="152"/>
      <c r="JG40" s="61"/>
      <c r="JH40" s="13"/>
      <c r="JI40" s="13"/>
      <c r="JJ40" s="13"/>
      <c r="JK40" s="60"/>
      <c r="JL40" s="99"/>
      <c r="JN40" s="165"/>
      <c r="JO40" s="166"/>
      <c r="JP40" s="167"/>
      <c r="JQ40" s="168"/>
      <c r="JR40" s="169"/>
      <c r="JS40" s="170"/>
      <c r="JT40" s="171"/>
      <c r="JU40" s="172"/>
      <c r="JV40" s="173"/>
      <c r="JW40" s="11"/>
      <c r="JX40" s="11"/>
      <c r="JY40" s="11"/>
      <c r="JZ40" s="12"/>
      <c r="KA40" s="12"/>
      <c r="KB40" s="12"/>
      <c r="KC40" s="12"/>
      <c r="KD40" s="12"/>
      <c r="KE40" s="152"/>
      <c r="KF40" s="152"/>
      <c r="KG40" s="61"/>
      <c r="KH40" s="13"/>
      <c r="KI40" s="13"/>
      <c r="KJ40" s="13"/>
      <c r="KK40" s="60"/>
      <c r="KL40" s="99"/>
      <c r="KN40" s="165"/>
      <c r="KO40" s="166"/>
      <c r="KP40" s="167"/>
      <c r="KQ40" s="168"/>
      <c r="KR40" s="169"/>
      <c r="KS40" s="170"/>
      <c r="KT40" s="171"/>
      <c r="KU40" s="172"/>
      <c r="KV40" s="173"/>
      <c r="KW40" s="11"/>
      <c r="KX40" s="11"/>
      <c r="KY40" s="11"/>
      <c r="KZ40" s="12"/>
      <c r="LA40" s="12"/>
      <c r="LB40" s="12"/>
      <c r="LC40" s="12"/>
      <c r="LD40" s="12"/>
      <c r="LE40" s="152"/>
      <c r="LF40" s="152"/>
      <c r="LG40" s="61"/>
      <c r="LH40" s="13"/>
      <c r="LI40" s="13"/>
      <c r="LJ40" s="13"/>
      <c r="LK40" s="60"/>
      <c r="LL40" s="99"/>
      <c r="LO40" s="238"/>
    </row>
    <row r="41" spans="1:327" ht="15.5" thickTop="1" thickBot="1" x14ac:dyDescent="0.4">
      <c r="A41" s="52"/>
      <c r="B41" s="69"/>
      <c r="C41" s="70"/>
      <c r="D41" s="71"/>
      <c r="E41" s="55"/>
      <c r="F41" s="56"/>
      <c r="G41" s="57"/>
      <c r="H41" s="58"/>
      <c r="I41" s="54"/>
      <c r="J41" s="59"/>
      <c r="K41" s="55"/>
      <c r="L41" s="67"/>
      <c r="M41" s="164"/>
      <c r="N41" s="163"/>
      <c r="O41" s="166"/>
      <c r="P41" s="167"/>
      <c r="Q41" s="163"/>
      <c r="R41" s="169"/>
      <c r="S41" s="170"/>
      <c r="T41" s="171"/>
      <c r="U41" s="172"/>
      <c r="V41" s="173"/>
      <c r="W41" s="174"/>
      <c r="X41" s="174"/>
      <c r="Y41" s="174"/>
      <c r="Z41" s="175"/>
      <c r="AA41" s="175"/>
      <c r="AB41" s="175"/>
      <c r="AC41" s="175"/>
      <c r="AD41" s="175"/>
      <c r="AE41" s="176"/>
      <c r="AF41" s="176"/>
      <c r="AG41" s="61"/>
      <c r="AH41" s="177"/>
      <c r="AI41" s="177"/>
      <c r="AJ41" s="177"/>
      <c r="AK41" s="178"/>
      <c r="AL41" s="179"/>
      <c r="AN41" s="165"/>
      <c r="AO41" s="166"/>
      <c r="AP41" s="167"/>
      <c r="AQ41" s="168"/>
      <c r="AR41" s="169"/>
      <c r="AS41" s="170"/>
      <c r="AT41" s="171"/>
      <c r="AU41" s="172"/>
      <c r="AV41" s="173"/>
      <c r="AW41" s="11"/>
      <c r="AX41" s="11"/>
      <c r="AY41" s="11"/>
      <c r="AZ41" s="12"/>
      <c r="BA41" s="12"/>
      <c r="BB41" s="12"/>
      <c r="BC41" s="12"/>
      <c r="BD41" s="12"/>
      <c r="BE41" s="152"/>
      <c r="BF41" s="152"/>
      <c r="BG41" s="61"/>
      <c r="BH41" s="13"/>
      <c r="BI41" s="13"/>
      <c r="BJ41" s="13"/>
      <c r="BK41" s="60"/>
      <c r="BL41" s="99"/>
      <c r="BM41" s="14"/>
      <c r="BN41" s="165"/>
      <c r="BO41" s="166"/>
      <c r="BP41" s="167"/>
      <c r="BQ41" s="168"/>
      <c r="BR41" s="169"/>
      <c r="BS41" s="170"/>
      <c r="BT41" s="171"/>
      <c r="BU41" s="172"/>
      <c r="BV41" s="173"/>
      <c r="BW41" s="11"/>
      <c r="BX41" s="11"/>
      <c r="BY41" s="11"/>
      <c r="BZ41" s="12"/>
      <c r="CA41" s="12"/>
      <c r="CB41" s="12"/>
      <c r="CC41" s="12"/>
      <c r="CD41" s="12"/>
      <c r="CE41" s="152"/>
      <c r="CF41" s="152"/>
      <c r="CG41" s="61"/>
      <c r="CH41" s="13"/>
      <c r="CI41" s="13"/>
      <c r="CJ41" s="13"/>
      <c r="CK41" s="60"/>
      <c r="CL41" s="99"/>
      <c r="CN41" s="165"/>
      <c r="CO41" s="166"/>
      <c r="CP41" s="167"/>
      <c r="CQ41" s="168"/>
      <c r="CR41" s="169"/>
      <c r="CS41" s="170"/>
      <c r="CT41" s="171"/>
      <c r="CU41" s="172"/>
      <c r="CV41" s="173"/>
      <c r="CW41" s="11"/>
      <c r="CX41" s="11"/>
      <c r="CY41" s="11"/>
      <c r="CZ41" s="12"/>
      <c r="DA41" s="12"/>
      <c r="DB41" s="12"/>
      <c r="DC41" s="12"/>
      <c r="DD41" s="12"/>
      <c r="DE41" s="152"/>
      <c r="DF41" s="152"/>
      <c r="DG41" s="61"/>
      <c r="DH41" s="13"/>
      <c r="DI41" s="13"/>
      <c r="DJ41" s="13"/>
      <c r="DK41" s="60"/>
      <c r="DL41" s="99"/>
      <c r="DN41" s="165"/>
      <c r="DO41" s="166"/>
      <c r="DP41" s="167"/>
      <c r="DQ41" s="168"/>
      <c r="DR41" s="169"/>
      <c r="DS41" s="170"/>
      <c r="DT41" s="171"/>
      <c r="DU41" s="172"/>
      <c r="DV41" s="173"/>
      <c r="DW41" s="11"/>
      <c r="DX41" s="11"/>
      <c r="DY41" s="11"/>
      <c r="DZ41" s="12"/>
      <c r="EA41" s="12"/>
      <c r="EB41" s="12"/>
      <c r="EC41" s="12"/>
      <c r="ED41" s="12"/>
      <c r="EE41" s="152"/>
      <c r="EF41" s="152"/>
      <c r="EG41" s="61"/>
      <c r="EH41" s="13"/>
      <c r="EI41" s="13"/>
      <c r="EJ41" s="13"/>
      <c r="EK41" s="60"/>
      <c r="EL41" s="99"/>
      <c r="EN41" s="165"/>
      <c r="EO41" s="166"/>
      <c r="EP41" s="167"/>
      <c r="EQ41" s="168"/>
      <c r="ER41" s="169"/>
      <c r="ES41" s="170"/>
      <c r="ET41" s="171"/>
      <c r="EU41" s="172"/>
      <c r="EV41" s="173"/>
      <c r="EW41" s="11"/>
      <c r="EX41" s="11"/>
      <c r="EY41" s="11"/>
      <c r="EZ41" s="12"/>
      <c r="FA41" s="12"/>
      <c r="FB41" s="12"/>
      <c r="FC41" s="12"/>
      <c r="FD41" s="12"/>
      <c r="FE41" s="152"/>
      <c r="FF41" s="152"/>
      <c r="FG41" s="61"/>
      <c r="FH41" s="13"/>
      <c r="FI41" s="13"/>
      <c r="FJ41" s="13"/>
      <c r="FK41" s="60"/>
      <c r="FL41" s="99"/>
      <c r="FN41" s="165"/>
      <c r="FO41" s="166"/>
      <c r="FP41" s="167"/>
      <c r="FQ41" s="168"/>
      <c r="FR41" s="169"/>
      <c r="FS41" s="170"/>
      <c r="FT41" s="171"/>
      <c r="FU41" s="172"/>
      <c r="FV41" s="173"/>
      <c r="FW41" s="11"/>
      <c r="FX41" s="11"/>
      <c r="FY41" s="11"/>
      <c r="FZ41" s="12"/>
      <c r="GA41" s="12"/>
      <c r="GB41" s="12"/>
      <c r="GC41" s="12"/>
      <c r="GD41" s="12"/>
      <c r="GE41" s="152"/>
      <c r="GF41" s="152"/>
      <c r="GG41" s="61"/>
      <c r="GH41" s="13"/>
      <c r="GI41" s="13"/>
      <c r="GJ41" s="13"/>
      <c r="GK41" s="60"/>
      <c r="GL41" s="99"/>
      <c r="GN41" s="165"/>
      <c r="GO41" s="166"/>
      <c r="GP41" s="167"/>
      <c r="GQ41" s="168"/>
      <c r="GR41" s="169"/>
      <c r="GS41" s="170"/>
      <c r="GT41" s="171"/>
      <c r="GU41" s="172"/>
      <c r="GV41" s="173"/>
      <c r="GW41" s="11"/>
      <c r="GX41" s="11"/>
      <c r="GY41" s="11"/>
      <c r="GZ41" s="12"/>
      <c r="HA41" s="12"/>
      <c r="HB41" s="12"/>
      <c r="HC41" s="12"/>
      <c r="HD41" s="12"/>
      <c r="HE41" s="152"/>
      <c r="HF41" s="152"/>
      <c r="HG41" s="61"/>
      <c r="HH41" s="13"/>
      <c r="HI41" s="13"/>
      <c r="HJ41" s="13"/>
      <c r="HK41" s="60"/>
      <c r="HL41" s="99"/>
      <c r="HN41" s="165"/>
      <c r="HO41" s="166"/>
      <c r="HP41" s="167"/>
      <c r="HQ41" s="168"/>
      <c r="HR41" s="169"/>
      <c r="HS41" s="170"/>
      <c r="HT41" s="171"/>
      <c r="HU41" s="172"/>
      <c r="HV41" s="173"/>
      <c r="HW41" s="11"/>
      <c r="HX41" s="11"/>
      <c r="HY41" s="11"/>
      <c r="HZ41" s="12"/>
      <c r="IA41" s="12"/>
      <c r="IB41" s="12"/>
      <c r="IC41" s="12"/>
      <c r="ID41" s="12"/>
      <c r="IE41" s="152"/>
      <c r="IF41" s="152"/>
      <c r="IG41" s="61"/>
      <c r="IH41" s="13"/>
      <c r="II41" s="13"/>
      <c r="IJ41" s="13"/>
      <c r="IK41" s="60"/>
      <c r="IL41" s="99"/>
      <c r="IN41" s="165"/>
      <c r="IO41" s="166"/>
      <c r="IP41" s="167"/>
      <c r="IQ41" s="168"/>
      <c r="IR41" s="169"/>
      <c r="IS41" s="170"/>
      <c r="IT41" s="171"/>
      <c r="IU41" s="172"/>
      <c r="IV41" s="173"/>
      <c r="IW41" s="11"/>
      <c r="IX41" s="11"/>
      <c r="IY41" s="11"/>
      <c r="IZ41" s="12"/>
      <c r="JA41" s="12"/>
      <c r="JB41" s="12"/>
      <c r="JC41" s="12"/>
      <c r="JD41" s="12"/>
      <c r="JE41" s="152"/>
      <c r="JF41" s="152"/>
      <c r="JG41" s="61"/>
      <c r="JH41" s="13"/>
      <c r="JI41" s="13"/>
      <c r="JJ41" s="13"/>
      <c r="JK41" s="60"/>
      <c r="JL41" s="99"/>
      <c r="JN41" s="165"/>
      <c r="JO41" s="166"/>
      <c r="JP41" s="167"/>
      <c r="JQ41" s="168"/>
      <c r="JR41" s="169"/>
      <c r="JS41" s="170"/>
      <c r="JT41" s="171"/>
      <c r="JU41" s="172"/>
      <c r="JV41" s="173"/>
      <c r="JW41" s="11"/>
      <c r="JX41" s="11"/>
      <c r="JY41" s="11"/>
      <c r="JZ41" s="12"/>
      <c r="KA41" s="12"/>
      <c r="KB41" s="12"/>
      <c r="KC41" s="12"/>
      <c r="KD41" s="12"/>
      <c r="KE41" s="152"/>
      <c r="KF41" s="152"/>
      <c r="KG41" s="61"/>
      <c r="KH41" s="13"/>
      <c r="KI41" s="13"/>
      <c r="KJ41" s="13"/>
      <c r="KK41" s="60"/>
      <c r="KL41" s="99"/>
      <c r="KN41" s="165"/>
      <c r="KO41" s="166"/>
      <c r="KP41" s="167"/>
      <c r="KQ41" s="168"/>
      <c r="KR41" s="169"/>
      <c r="KS41" s="170"/>
      <c r="KT41" s="171"/>
      <c r="KU41" s="172"/>
      <c r="KV41" s="173"/>
      <c r="KW41" s="11"/>
      <c r="KX41" s="11"/>
      <c r="KY41" s="11"/>
      <c r="KZ41" s="12"/>
      <c r="LA41" s="12"/>
      <c r="LB41" s="12"/>
      <c r="LC41" s="12"/>
      <c r="LD41" s="12"/>
      <c r="LE41" s="152"/>
      <c r="LF41" s="152"/>
      <c r="LG41" s="61"/>
      <c r="LH41" s="13"/>
      <c r="LI41" s="13"/>
      <c r="LJ41" s="13"/>
      <c r="LK41" s="60"/>
      <c r="LL41" s="99"/>
      <c r="LO41" s="238"/>
    </row>
    <row r="42" spans="1:327" ht="15.5" thickTop="1" thickBot="1" x14ac:dyDescent="0.4">
      <c r="A42" s="52"/>
      <c r="B42" s="69"/>
      <c r="C42" s="285"/>
      <c r="D42" s="71"/>
      <c r="E42" s="281"/>
      <c r="F42" s="56"/>
      <c r="G42" s="129"/>
      <c r="H42" s="59"/>
      <c r="I42" s="54"/>
      <c r="J42" s="59"/>
      <c r="K42" s="55"/>
      <c r="L42" s="67"/>
      <c r="M42" s="164"/>
      <c r="N42" s="163"/>
      <c r="O42" s="166"/>
      <c r="P42" s="167"/>
      <c r="Q42" s="163"/>
      <c r="R42" s="169"/>
      <c r="S42" s="170"/>
      <c r="T42" s="171"/>
      <c r="U42" s="172"/>
      <c r="V42" s="173"/>
      <c r="W42" s="174"/>
      <c r="X42" s="174"/>
      <c r="Y42" s="174"/>
      <c r="Z42" s="175"/>
      <c r="AA42" s="175"/>
      <c r="AB42" s="175"/>
      <c r="AC42" s="175"/>
      <c r="AD42" s="175"/>
      <c r="AE42" s="176"/>
      <c r="AF42" s="176"/>
      <c r="AG42" s="61"/>
      <c r="AH42" s="177"/>
      <c r="AI42" s="177"/>
      <c r="AJ42" s="177"/>
      <c r="AK42" s="178"/>
      <c r="AL42" s="179"/>
      <c r="AN42" s="165"/>
      <c r="AO42" s="166"/>
      <c r="AP42" s="167"/>
      <c r="AQ42" s="168"/>
      <c r="AR42" s="169"/>
      <c r="AS42" s="170"/>
      <c r="AT42" s="171"/>
      <c r="AU42" s="172"/>
      <c r="AV42" s="173"/>
      <c r="AW42" s="11"/>
      <c r="AX42" s="11"/>
      <c r="AY42" s="11"/>
      <c r="AZ42" s="12"/>
      <c r="BA42" s="12"/>
      <c r="BB42" s="12"/>
      <c r="BC42" s="12"/>
      <c r="BD42" s="12"/>
      <c r="BE42" s="152"/>
      <c r="BF42" s="152"/>
      <c r="BG42" s="61"/>
      <c r="BH42" s="13"/>
      <c r="BI42" s="13"/>
      <c r="BJ42" s="13"/>
      <c r="BK42" s="60"/>
      <c r="BL42" s="99"/>
      <c r="BM42" s="14"/>
      <c r="BN42" s="163"/>
      <c r="BO42" s="166"/>
      <c r="BP42" s="167"/>
      <c r="BQ42" s="168"/>
      <c r="BR42" s="169"/>
      <c r="BS42" s="170"/>
      <c r="BT42" s="171"/>
      <c r="BU42" s="172"/>
      <c r="BV42" s="173"/>
      <c r="BW42" s="11"/>
      <c r="BX42" s="11"/>
      <c r="BY42" s="11"/>
      <c r="BZ42" s="12"/>
      <c r="CA42" s="12"/>
      <c r="CB42" s="12"/>
      <c r="CC42" s="12"/>
      <c r="CD42" s="12"/>
      <c r="CE42" s="152"/>
      <c r="CF42" s="152"/>
      <c r="CG42" s="61"/>
      <c r="CH42" s="13"/>
      <c r="CI42" s="13"/>
      <c r="CJ42" s="13"/>
      <c r="CK42" s="60"/>
      <c r="CL42" s="99"/>
      <c r="CN42" s="165"/>
      <c r="CO42" s="166"/>
      <c r="CP42" s="167"/>
      <c r="CQ42" s="168"/>
      <c r="CR42" s="169"/>
      <c r="CS42" s="170"/>
      <c r="CT42" s="171"/>
      <c r="CU42" s="172"/>
      <c r="CV42" s="173"/>
      <c r="CW42" s="11"/>
      <c r="CX42" s="11"/>
      <c r="CY42" s="11"/>
      <c r="CZ42" s="12"/>
      <c r="DA42" s="12"/>
      <c r="DB42" s="12"/>
      <c r="DC42" s="12"/>
      <c r="DD42" s="12"/>
      <c r="DE42" s="152"/>
      <c r="DF42" s="152"/>
      <c r="DG42" s="61"/>
      <c r="DH42" s="13"/>
      <c r="DI42" s="13"/>
      <c r="DJ42" s="13"/>
      <c r="DK42" s="60"/>
      <c r="DL42" s="99"/>
      <c r="DN42" s="165"/>
      <c r="DO42" s="166"/>
      <c r="DP42" s="167"/>
      <c r="DQ42" s="168"/>
      <c r="DR42" s="169"/>
      <c r="DS42" s="170"/>
      <c r="DT42" s="171"/>
      <c r="DU42" s="172"/>
      <c r="DV42" s="173"/>
      <c r="DW42" s="11"/>
      <c r="DX42" s="11"/>
      <c r="DY42" s="11"/>
      <c r="DZ42" s="12"/>
      <c r="EA42" s="12"/>
      <c r="EB42" s="12"/>
      <c r="EC42" s="12"/>
      <c r="ED42" s="12"/>
      <c r="EE42" s="152"/>
      <c r="EF42" s="152"/>
      <c r="EG42" s="61"/>
      <c r="EH42" s="13"/>
      <c r="EI42" s="13"/>
      <c r="EJ42" s="13"/>
      <c r="EK42" s="60"/>
      <c r="EL42" s="99"/>
      <c r="EN42" s="165"/>
      <c r="EO42" s="166"/>
      <c r="EP42" s="167"/>
      <c r="EQ42" s="168"/>
      <c r="ER42" s="169"/>
      <c r="ES42" s="170"/>
      <c r="ET42" s="171"/>
      <c r="EU42" s="172"/>
      <c r="EV42" s="173"/>
      <c r="EW42" s="11"/>
      <c r="EX42" s="11"/>
      <c r="EY42" s="11"/>
      <c r="EZ42" s="12"/>
      <c r="FA42" s="12"/>
      <c r="FB42" s="12"/>
      <c r="FC42" s="12"/>
      <c r="FD42" s="12"/>
      <c r="FE42" s="152"/>
      <c r="FF42" s="152"/>
      <c r="FG42" s="61"/>
      <c r="FH42" s="13"/>
      <c r="FI42" s="13"/>
      <c r="FJ42" s="13"/>
      <c r="FK42" s="60"/>
      <c r="FL42" s="99"/>
      <c r="FN42" s="165"/>
      <c r="FO42" s="166"/>
      <c r="FP42" s="167"/>
      <c r="FQ42" s="168"/>
      <c r="FR42" s="169"/>
      <c r="FS42" s="170"/>
      <c r="FT42" s="171"/>
      <c r="FU42" s="172"/>
      <c r="FV42" s="173"/>
      <c r="FW42" s="11"/>
      <c r="FX42" s="11"/>
      <c r="FY42" s="11"/>
      <c r="FZ42" s="12"/>
      <c r="GA42" s="12"/>
      <c r="GB42" s="12"/>
      <c r="GC42" s="12"/>
      <c r="GD42" s="12"/>
      <c r="GE42" s="152"/>
      <c r="GF42" s="152"/>
      <c r="GG42" s="61"/>
      <c r="GH42" s="13"/>
      <c r="GI42" s="13"/>
      <c r="GJ42" s="13"/>
      <c r="GK42" s="60"/>
      <c r="GL42" s="99"/>
      <c r="GN42" s="165"/>
      <c r="GO42" s="166"/>
      <c r="GP42" s="167"/>
      <c r="GQ42" s="168"/>
      <c r="GR42" s="169"/>
      <c r="GS42" s="170"/>
      <c r="GT42" s="171"/>
      <c r="GU42" s="172"/>
      <c r="GV42" s="173"/>
      <c r="GW42" s="11"/>
      <c r="GX42" s="11"/>
      <c r="GY42" s="11"/>
      <c r="GZ42" s="12"/>
      <c r="HA42" s="12"/>
      <c r="HB42" s="12"/>
      <c r="HC42" s="12"/>
      <c r="HD42" s="12"/>
      <c r="HE42" s="152"/>
      <c r="HF42" s="152"/>
      <c r="HG42" s="61"/>
      <c r="HH42" s="13"/>
      <c r="HI42" s="13"/>
      <c r="HJ42" s="13"/>
      <c r="HK42" s="60"/>
      <c r="HL42" s="99"/>
      <c r="HN42" s="165"/>
      <c r="HO42" s="166"/>
      <c r="HP42" s="167"/>
      <c r="HQ42" s="168"/>
      <c r="HR42" s="169"/>
      <c r="HS42" s="170"/>
      <c r="HT42" s="171"/>
      <c r="HU42" s="172"/>
      <c r="HV42" s="173"/>
      <c r="HW42" s="11"/>
      <c r="HX42" s="11"/>
      <c r="HY42" s="11"/>
      <c r="HZ42" s="12"/>
      <c r="IA42" s="12"/>
      <c r="IB42" s="12"/>
      <c r="IC42" s="12"/>
      <c r="ID42" s="12"/>
      <c r="IE42" s="152"/>
      <c r="IF42" s="152"/>
      <c r="IG42" s="61"/>
      <c r="IH42" s="13"/>
      <c r="II42" s="13"/>
      <c r="IJ42" s="13"/>
      <c r="IK42" s="60"/>
      <c r="IL42" s="99"/>
      <c r="IN42" s="165"/>
      <c r="IO42" s="166"/>
      <c r="IP42" s="167"/>
      <c r="IQ42" s="168"/>
      <c r="IR42" s="169"/>
      <c r="IS42" s="170"/>
      <c r="IT42" s="171"/>
      <c r="IU42" s="172"/>
      <c r="IV42" s="173"/>
      <c r="IW42" s="11"/>
      <c r="IX42" s="11"/>
      <c r="IY42" s="11"/>
      <c r="IZ42" s="12"/>
      <c r="JA42" s="12"/>
      <c r="JB42" s="12"/>
      <c r="JC42" s="12"/>
      <c r="JD42" s="12"/>
      <c r="JE42" s="152"/>
      <c r="JF42" s="152"/>
      <c r="JG42" s="61"/>
      <c r="JH42" s="13"/>
      <c r="JI42" s="13"/>
      <c r="JJ42" s="13"/>
      <c r="JK42" s="60"/>
      <c r="JL42" s="99"/>
      <c r="JN42" s="165"/>
      <c r="JO42" s="166"/>
      <c r="JP42" s="167"/>
      <c r="JQ42" s="168"/>
      <c r="JR42" s="169"/>
      <c r="JS42" s="170"/>
      <c r="JT42" s="171"/>
      <c r="JU42" s="172"/>
      <c r="JV42" s="173"/>
      <c r="JW42" s="11"/>
      <c r="JX42" s="11"/>
      <c r="JY42" s="11"/>
      <c r="JZ42" s="12"/>
      <c r="KA42" s="12"/>
      <c r="KB42" s="12"/>
      <c r="KC42" s="12"/>
      <c r="KD42" s="12"/>
      <c r="KE42" s="152"/>
      <c r="KF42" s="152"/>
      <c r="KG42" s="61"/>
      <c r="KH42" s="13"/>
      <c r="KI42" s="13"/>
      <c r="KJ42" s="13"/>
      <c r="KK42" s="60"/>
      <c r="KL42" s="99"/>
      <c r="KN42" s="165"/>
      <c r="KO42" s="166"/>
      <c r="KP42" s="167"/>
      <c r="KQ42" s="168"/>
      <c r="KR42" s="169"/>
      <c r="KS42" s="170"/>
      <c r="KT42" s="171"/>
      <c r="KU42" s="172"/>
      <c r="KV42" s="173"/>
      <c r="KW42" s="11"/>
      <c r="KX42" s="11"/>
      <c r="KY42" s="11"/>
      <c r="KZ42" s="12"/>
      <c r="LA42" s="12"/>
      <c r="LB42" s="12"/>
      <c r="LC42" s="12"/>
      <c r="LD42" s="12"/>
      <c r="LE42" s="152"/>
      <c r="LF42" s="152"/>
      <c r="LG42" s="61"/>
      <c r="LH42" s="13"/>
      <c r="LI42" s="13"/>
      <c r="LJ42" s="13"/>
      <c r="LK42" s="60"/>
      <c r="LL42" s="99"/>
      <c r="LO42" s="238"/>
    </row>
    <row r="43" spans="1:327" ht="15.5" thickTop="1" thickBot="1" x14ac:dyDescent="0.4">
      <c r="A43" s="52"/>
      <c r="B43" s="69"/>
      <c r="C43" s="70"/>
      <c r="D43" s="71"/>
      <c r="E43" s="55"/>
      <c r="F43" s="56"/>
      <c r="G43" s="57"/>
      <c r="H43" s="58"/>
      <c r="I43" s="54"/>
      <c r="J43" s="59"/>
      <c r="K43" s="55"/>
      <c r="L43" s="67"/>
      <c r="M43" s="164"/>
      <c r="N43" s="163"/>
      <c r="O43" s="166"/>
      <c r="P43" s="167"/>
      <c r="Q43" s="163"/>
      <c r="R43" s="169"/>
      <c r="S43" s="170"/>
      <c r="T43" s="171"/>
      <c r="U43" s="172"/>
      <c r="V43" s="173"/>
      <c r="W43" s="174"/>
      <c r="X43" s="174"/>
      <c r="Y43" s="174"/>
      <c r="Z43" s="175"/>
      <c r="AA43" s="175"/>
      <c r="AB43" s="175"/>
      <c r="AC43" s="175"/>
      <c r="AD43" s="175"/>
      <c r="AE43" s="176"/>
      <c r="AF43" s="176"/>
      <c r="AG43" s="61"/>
      <c r="AH43" s="177"/>
      <c r="AI43" s="177"/>
      <c r="AJ43" s="177"/>
      <c r="AK43" s="178"/>
      <c r="AL43" s="179"/>
      <c r="AN43" s="165"/>
      <c r="AO43" s="166"/>
      <c r="AP43" s="167"/>
      <c r="AQ43" s="168"/>
      <c r="AR43" s="169"/>
      <c r="AS43" s="170"/>
      <c r="AT43" s="171"/>
      <c r="AU43" s="172"/>
      <c r="AV43" s="173"/>
      <c r="AW43" s="11"/>
      <c r="AX43" s="11"/>
      <c r="AY43" s="11"/>
      <c r="AZ43" s="12"/>
      <c r="BA43" s="12"/>
      <c r="BB43" s="12"/>
      <c r="BC43" s="12"/>
      <c r="BD43" s="12"/>
      <c r="BE43" s="152"/>
      <c r="BF43" s="152"/>
      <c r="BG43" s="61"/>
      <c r="BH43" s="13"/>
      <c r="BI43" s="13"/>
      <c r="BJ43" s="13"/>
      <c r="BK43" s="60"/>
      <c r="BL43" s="99"/>
      <c r="BM43" s="14"/>
      <c r="BN43" s="165"/>
      <c r="BO43" s="166"/>
      <c r="BP43" s="167"/>
      <c r="BQ43" s="168"/>
      <c r="BR43" s="169"/>
      <c r="BS43" s="170"/>
      <c r="BT43" s="171"/>
      <c r="BU43" s="172"/>
      <c r="BV43" s="173"/>
      <c r="BW43" s="11"/>
      <c r="BX43" s="11"/>
      <c r="BY43" s="11"/>
      <c r="BZ43" s="12"/>
      <c r="CA43" s="12"/>
      <c r="CB43" s="12"/>
      <c r="CC43" s="12"/>
      <c r="CD43" s="12"/>
      <c r="CE43" s="152"/>
      <c r="CF43" s="152"/>
      <c r="CG43" s="61"/>
      <c r="CH43" s="13"/>
      <c r="CI43" s="13"/>
      <c r="CJ43" s="13"/>
      <c r="CK43" s="60"/>
      <c r="CL43" s="99"/>
      <c r="CN43" s="165"/>
      <c r="CO43" s="166"/>
      <c r="CP43" s="167"/>
      <c r="CQ43" s="168"/>
      <c r="CR43" s="169"/>
      <c r="CS43" s="170"/>
      <c r="CT43" s="171"/>
      <c r="CU43" s="172"/>
      <c r="CV43" s="173"/>
      <c r="CW43" s="11"/>
      <c r="CX43" s="11"/>
      <c r="CY43" s="11"/>
      <c r="CZ43" s="12"/>
      <c r="DA43" s="12"/>
      <c r="DB43" s="12"/>
      <c r="DC43" s="12"/>
      <c r="DD43" s="12"/>
      <c r="DE43" s="152"/>
      <c r="DF43" s="152"/>
      <c r="DG43" s="61"/>
      <c r="DH43" s="13"/>
      <c r="DI43" s="13"/>
      <c r="DJ43" s="13"/>
      <c r="DK43" s="60"/>
      <c r="DL43" s="99"/>
      <c r="DN43" s="165"/>
      <c r="DO43" s="166"/>
      <c r="DP43" s="167"/>
      <c r="DQ43" s="168"/>
      <c r="DR43" s="169"/>
      <c r="DS43" s="170"/>
      <c r="DT43" s="171"/>
      <c r="DU43" s="172"/>
      <c r="DV43" s="173"/>
      <c r="DW43" s="11"/>
      <c r="DX43" s="11"/>
      <c r="DY43" s="11"/>
      <c r="DZ43" s="12"/>
      <c r="EA43" s="12"/>
      <c r="EB43" s="12"/>
      <c r="EC43" s="12"/>
      <c r="ED43" s="12"/>
      <c r="EE43" s="152"/>
      <c r="EF43" s="152"/>
      <c r="EG43" s="61"/>
      <c r="EH43" s="13"/>
      <c r="EI43" s="13"/>
      <c r="EJ43" s="13"/>
      <c r="EK43" s="60"/>
      <c r="EL43" s="99"/>
      <c r="EN43" s="165"/>
      <c r="EO43" s="166"/>
      <c r="EP43" s="167"/>
      <c r="EQ43" s="168"/>
      <c r="ER43" s="169"/>
      <c r="ES43" s="170"/>
      <c r="ET43" s="171"/>
      <c r="EU43" s="172"/>
      <c r="EV43" s="173"/>
      <c r="EW43" s="11"/>
      <c r="EX43" s="11"/>
      <c r="EY43" s="11"/>
      <c r="EZ43" s="12"/>
      <c r="FA43" s="12"/>
      <c r="FB43" s="12"/>
      <c r="FC43" s="12"/>
      <c r="FD43" s="12"/>
      <c r="FE43" s="152"/>
      <c r="FF43" s="152"/>
      <c r="FG43" s="61"/>
      <c r="FH43" s="13"/>
      <c r="FI43" s="13"/>
      <c r="FJ43" s="13"/>
      <c r="FK43" s="60"/>
      <c r="FL43" s="99"/>
      <c r="FN43" s="165"/>
      <c r="FO43" s="166"/>
      <c r="FP43" s="167"/>
      <c r="FQ43" s="168"/>
      <c r="FR43" s="169"/>
      <c r="FS43" s="170"/>
      <c r="FT43" s="171"/>
      <c r="FU43" s="172"/>
      <c r="FV43" s="173"/>
      <c r="FW43" s="11"/>
      <c r="FX43" s="11"/>
      <c r="FY43" s="11"/>
      <c r="FZ43" s="12"/>
      <c r="GA43" s="12"/>
      <c r="GB43" s="12"/>
      <c r="GC43" s="12"/>
      <c r="GD43" s="12"/>
      <c r="GE43" s="152"/>
      <c r="GF43" s="152"/>
      <c r="GG43" s="61"/>
      <c r="GH43" s="13"/>
      <c r="GI43" s="13"/>
      <c r="GJ43" s="13"/>
      <c r="GK43" s="60"/>
      <c r="GL43" s="99"/>
      <c r="GN43" s="165"/>
      <c r="GO43" s="166"/>
      <c r="GP43" s="167"/>
      <c r="GQ43" s="168"/>
      <c r="GR43" s="169"/>
      <c r="GS43" s="170"/>
      <c r="GT43" s="171"/>
      <c r="GU43" s="172"/>
      <c r="GV43" s="173"/>
      <c r="GW43" s="11"/>
      <c r="GX43" s="11"/>
      <c r="GY43" s="11"/>
      <c r="GZ43" s="12"/>
      <c r="HA43" s="12"/>
      <c r="HB43" s="12"/>
      <c r="HC43" s="12"/>
      <c r="HD43" s="12"/>
      <c r="HE43" s="152"/>
      <c r="HF43" s="152"/>
      <c r="HG43" s="61"/>
      <c r="HH43" s="13"/>
      <c r="HI43" s="13"/>
      <c r="HJ43" s="13"/>
      <c r="HK43" s="60"/>
      <c r="HL43" s="99"/>
      <c r="HN43" s="165"/>
      <c r="HO43" s="166"/>
      <c r="HP43" s="167"/>
      <c r="HQ43" s="168"/>
      <c r="HR43" s="169"/>
      <c r="HS43" s="170"/>
      <c r="HT43" s="171"/>
      <c r="HU43" s="172"/>
      <c r="HV43" s="173"/>
      <c r="HW43" s="11"/>
      <c r="HX43" s="11"/>
      <c r="HY43" s="11"/>
      <c r="HZ43" s="12"/>
      <c r="IA43" s="12"/>
      <c r="IB43" s="12"/>
      <c r="IC43" s="12"/>
      <c r="ID43" s="12"/>
      <c r="IE43" s="152"/>
      <c r="IF43" s="152"/>
      <c r="IG43" s="61"/>
      <c r="IH43" s="13"/>
      <c r="II43" s="13"/>
      <c r="IJ43" s="13"/>
      <c r="IK43" s="60"/>
      <c r="IL43" s="99"/>
      <c r="IN43" s="165"/>
      <c r="IO43" s="166"/>
      <c r="IP43" s="167"/>
      <c r="IQ43" s="168"/>
      <c r="IR43" s="169"/>
      <c r="IS43" s="170"/>
      <c r="IT43" s="171"/>
      <c r="IU43" s="172"/>
      <c r="IV43" s="173"/>
      <c r="IW43" s="11"/>
      <c r="IX43" s="11"/>
      <c r="IY43" s="11"/>
      <c r="IZ43" s="12"/>
      <c r="JA43" s="12"/>
      <c r="JB43" s="12"/>
      <c r="JC43" s="12"/>
      <c r="JD43" s="12"/>
      <c r="JE43" s="152"/>
      <c r="JF43" s="152"/>
      <c r="JG43" s="61"/>
      <c r="JH43" s="13"/>
      <c r="JI43" s="13"/>
      <c r="JJ43" s="13"/>
      <c r="JK43" s="60"/>
      <c r="JL43" s="99"/>
      <c r="JN43" s="165"/>
      <c r="JO43" s="166"/>
      <c r="JP43" s="167"/>
      <c r="JQ43" s="168"/>
      <c r="JR43" s="169"/>
      <c r="JS43" s="170"/>
      <c r="JT43" s="171"/>
      <c r="JU43" s="172"/>
      <c r="JV43" s="173"/>
      <c r="JW43" s="11"/>
      <c r="JX43" s="11"/>
      <c r="JY43" s="11"/>
      <c r="JZ43" s="12"/>
      <c r="KA43" s="12"/>
      <c r="KB43" s="12"/>
      <c r="KC43" s="12"/>
      <c r="KD43" s="12"/>
      <c r="KE43" s="152"/>
      <c r="KF43" s="152"/>
      <c r="KG43" s="61"/>
      <c r="KH43" s="13"/>
      <c r="KI43" s="13"/>
      <c r="KJ43" s="13"/>
      <c r="KK43" s="60"/>
      <c r="KL43" s="99"/>
      <c r="KN43" s="165"/>
      <c r="KO43" s="166"/>
      <c r="KP43" s="167"/>
      <c r="KQ43" s="168"/>
      <c r="KR43" s="169"/>
      <c r="KS43" s="170"/>
      <c r="KT43" s="171"/>
      <c r="KU43" s="172"/>
      <c r="KV43" s="173"/>
      <c r="KW43" s="11"/>
      <c r="KX43" s="11"/>
      <c r="KY43" s="11"/>
      <c r="KZ43" s="12"/>
      <c r="LA43" s="12"/>
      <c r="LB43" s="12"/>
      <c r="LC43" s="12"/>
      <c r="LD43" s="12"/>
      <c r="LE43" s="152"/>
      <c r="LF43" s="152"/>
      <c r="LG43" s="61"/>
      <c r="LH43" s="13"/>
      <c r="LI43" s="13"/>
      <c r="LJ43" s="13"/>
      <c r="LK43" s="60"/>
      <c r="LL43" s="99"/>
      <c r="LO43" s="238"/>
    </row>
    <row r="44" spans="1:327" ht="15.5" thickTop="1" thickBot="1" x14ac:dyDescent="0.4">
      <c r="A44" s="52"/>
      <c r="B44" s="69"/>
      <c r="C44" s="285"/>
      <c r="D44" s="71"/>
      <c r="E44" s="281"/>
      <c r="F44" s="56"/>
      <c r="G44" s="129"/>
      <c r="H44" s="59"/>
      <c r="I44" s="54"/>
      <c r="J44" s="59"/>
      <c r="K44" s="55"/>
      <c r="L44" s="67"/>
      <c r="M44" s="164"/>
      <c r="N44" s="163"/>
      <c r="O44" s="166"/>
      <c r="P44" s="167"/>
      <c r="Q44" s="163"/>
      <c r="R44" s="169"/>
      <c r="S44" s="170"/>
      <c r="T44" s="171"/>
      <c r="U44" s="172"/>
      <c r="V44" s="173"/>
      <c r="W44" s="174"/>
      <c r="X44" s="174"/>
      <c r="Y44" s="174"/>
      <c r="Z44" s="175"/>
      <c r="AA44" s="175"/>
      <c r="AB44" s="175"/>
      <c r="AC44" s="175"/>
      <c r="AD44" s="175"/>
      <c r="AE44" s="176"/>
      <c r="AF44" s="176"/>
      <c r="AG44" s="61"/>
      <c r="AH44" s="177"/>
      <c r="AI44" s="177"/>
      <c r="AJ44" s="177"/>
      <c r="AK44" s="178"/>
      <c r="AL44" s="179"/>
      <c r="AN44" s="165"/>
      <c r="AO44" s="166"/>
      <c r="AP44" s="167"/>
      <c r="AQ44" s="168"/>
      <c r="AR44" s="169"/>
      <c r="AS44" s="170"/>
      <c r="AT44" s="171"/>
      <c r="AU44" s="172"/>
      <c r="AV44" s="173"/>
      <c r="AW44" s="11"/>
      <c r="AX44" s="11"/>
      <c r="AY44" s="11"/>
      <c r="AZ44" s="12"/>
      <c r="BA44" s="12"/>
      <c r="BB44" s="12"/>
      <c r="BC44" s="12"/>
      <c r="BD44" s="12"/>
      <c r="BE44" s="152"/>
      <c r="BF44" s="152"/>
      <c r="BG44" s="61"/>
      <c r="BH44" s="13"/>
      <c r="BI44" s="13"/>
      <c r="BJ44" s="13"/>
      <c r="BK44" s="60"/>
      <c r="BL44" s="99"/>
      <c r="BM44" s="14"/>
      <c r="BN44" s="163"/>
      <c r="BO44" s="166"/>
      <c r="BP44" s="167"/>
      <c r="BQ44" s="168"/>
      <c r="BR44" s="169"/>
      <c r="BS44" s="170"/>
      <c r="BT44" s="171"/>
      <c r="BU44" s="172"/>
      <c r="BV44" s="173"/>
      <c r="BW44" s="11"/>
      <c r="BX44" s="11"/>
      <c r="BY44" s="11"/>
      <c r="BZ44" s="12"/>
      <c r="CA44" s="12"/>
      <c r="CB44" s="12"/>
      <c r="CC44" s="12"/>
      <c r="CD44" s="12"/>
      <c r="CE44" s="152"/>
      <c r="CF44" s="152"/>
      <c r="CG44" s="61"/>
      <c r="CH44" s="13"/>
      <c r="CI44" s="13"/>
      <c r="CJ44" s="13"/>
      <c r="CK44" s="60"/>
      <c r="CL44" s="99"/>
      <c r="CN44" s="165"/>
      <c r="CO44" s="166"/>
      <c r="CP44" s="167"/>
      <c r="CQ44" s="168"/>
      <c r="CR44" s="169"/>
      <c r="CS44" s="170"/>
      <c r="CT44" s="171"/>
      <c r="CU44" s="172"/>
      <c r="CV44" s="173"/>
      <c r="CW44" s="11"/>
      <c r="CX44" s="11"/>
      <c r="CY44" s="11"/>
      <c r="CZ44" s="12"/>
      <c r="DA44" s="12"/>
      <c r="DB44" s="12"/>
      <c r="DC44" s="12"/>
      <c r="DD44" s="12"/>
      <c r="DE44" s="152"/>
      <c r="DF44" s="152"/>
      <c r="DG44" s="61"/>
      <c r="DH44" s="13"/>
      <c r="DI44" s="13"/>
      <c r="DJ44" s="13"/>
      <c r="DK44" s="60"/>
      <c r="DL44" s="99"/>
      <c r="DN44" s="165"/>
      <c r="DO44" s="166"/>
      <c r="DP44" s="167"/>
      <c r="DQ44" s="168"/>
      <c r="DR44" s="169"/>
      <c r="DS44" s="170"/>
      <c r="DT44" s="171"/>
      <c r="DU44" s="172"/>
      <c r="DV44" s="173"/>
      <c r="DW44" s="11"/>
      <c r="DX44" s="11"/>
      <c r="DY44" s="11"/>
      <c r="DZ44" s="12"/>
      <c r="EA44" s="12"/>
      <c r="EB44" s="12"/>
      <c r="EC44" s="12"/>
      <c r="ED44" s="12"/>
      <c r="EE44" s="152"/>
      <c r="EF44" s="152"/>
      <c r="EG44" s="61"/>
      <c r="EH44" s="13"/>
      <c r="EI44" s="13"/>
      <c r="EJ44" s="13"/>
      <c r="EK44" s="60"/>
      <c r="EL44" s="99"/>
      <c r="EN44" s="165"/>
      <c r="EO44" s="166"/>
      <c r="EP44" s="167"/>
      <c r="EQ44" s="168"/>
      <c r="ER44" s="169"/>
      <c r="ES44" s="170"/>
      <c r="ET44" s="171"/>
      <c r="EU44" s="172"/>
      <c r="EV44" s="173"/>
      <c r="EW44" s="11"/>
      <c r="EX44" s="11"/>
      <c r="EY44" s="11"/>
      <c r="EZ44" s="12"/>
      <c r="FA44" s="12"/>
      <c r="FB44" s="12"/>
      <c r="FC44" s="12"/>
      <c r="FD44" s="12"/>
      <c r="FE44" s="152"/>
      <c r="FF44" s="152"/>
      <c r="FG44" s="61"/>
      <c r="FH44" s="13"/>
      <c r="FI44" s="13"/>
      <c r="FJ44" s="13"/>
      <c r="FK44" s="60"/>
      <c r="FL44" s="99"/>
      <c r="FN44" s="165"/>
      <c r="FO44" s="166"/>
      <c r="FP44" s="167"/>
      <c r="FQ44" s="168"/>
      <c r="FR44" s="169"/>
      <c r="FS44" s="170"/>
      <c r="FT44" s="171"/>
      <c r="FU44" s="172"/>
      <c r="FV44" s="173"/>
      <c r="FW44" s="11"/>
      <c r="FX44" s="11"/>
      <c r="FY44" s="11"/>
      <c r="FZ44" s="12"/>
      <c r="GA44" s="12"/>
      <c r="GB44" s="12"/>
      <c r="GC44" s="12"/>
      <c r="GD44" s="12"/>
      <c r="GE44" s="152"/>
      <c r="GF44" s="152"/>
      <c r="GG44" s="61"/>
      <c r="GH44" s="13"/>
      <c r="GI44" s="13"/>
      <c r="GJ44" s="13"/>
      <c r="GK44" s="60"/>
      <c r="GL44" s="99"/>
      <c r="GN44" s="165"/>
      <c r="GO44" s="166"/>
      <c r="GP44" s="167"/>
      <c r="GQ44" s="168"/>
      <c r="GR44" s="169"/>
      <c r="GS44" s="170"/>
      <c r="GT44" s="171"/>
      <c r="GU44" s="172"/>
      <c r="GV44" s="173"/>
      <c r="GW44" s="11"/>
      <c r="GX44" s="11"/>
      <c r="GY44" s="11"/>
      <c r="GZ44" s="12"/>
      <c r="HA44" s="12"/>
      <c r="HB44" s="12"/>
      <c r="HC44" s="12"/>
      <c r="HD44" s="12"/>
      <c r="HE44" s="152"/>
      <c r="HF44" s="152"/>
      <c r="HG44" s="61"/>
      <c r="HH44" s="13"/>
      <c r="HI44" s="13"/>
      <c r="HJ44" s="13"/>
      <c r="HK44" s="60"/>
      <c r="HL44" s="99"/>
      <c r="HN44" s="165"/>
      <c r="HO44" s="166"/>
      <c r="HP44" s="167"/>
      <c r="HQ44" s="168"/>
      <c r="HR44" s="169"/>
      <c r="HS44" s="170"/>
      <c r="HT44" s="171"/>
      <c r="HU44" s="172"/>
      <c r="HV44" s="173"/>
      <c r="HW44" s="11"/>
      <c r="HX44" s="11"/>
      <c r="HY44" s="11"/>
      <c r="HZ44" s="12"/>
      <c r="IA44" s="12"/>
      <c r="IB44" s="12"/>
      <c r="IC44" s="12"/>
      <c r="ID44" s="12"/>
      <c r="IE44" s="152"/>
      <c r="IF44" s="152"/>
      <c r="IG44" s="61"/>
      <c r="IH44" s="13"/>
      <c r="II44" s="13"/>
      <c r="IJ44" s="13"/>
      <c r="IK44" s="60"/>
      <c r="IL44" s="99"/>
      <c r="IN44" s="165"/>
      <c r="IO44" s="166"/>
      <c r="IP44" s="167"/>
      <c r="IQ44" s="168"/>
      <c r="IR44" s="169"/>
      <c r="IS44" s="170"/>
      <c r="IT44" s="171"/>
      <c r="IU44" s="172"/>
      <c r="IV44" s="173"/>
      <c r="IW44" s="11"/>
      <c r="IX44" s="11"/>
      <c r="IY44" s="11"/>
      <c r="IZ44" s="12"/>
      <c r="JA44" s="12"/>
      <c r="JB44" s="12"/>
      <c r="JC44" s="12"/>
      <c r="JD44" s="12"/>
      <c r="JE44" s="152"/>
      <c r="JF44" s="152"/>
      <c r="JG44" s="61"/>
      <c r="JH44" s="13"/>
      <c r="JI44" s="13"/>
      <c r="JJ44" s="13"/>
      <c r="JK44" s="60"/>
      <c r="JL44" s="99"/>
      <c r="JN44" s="165"/>
      <c r="JO44" s="166"/>
      <c r="JP44" s="167"/>
      <c r="JQ44" s="168"/>
      <c r="JR44" s="169"/>
      <c r="JS44" s="170"/>
      <c r="JT44" s="171"/>
      <c r="JU44" s="172"/>
      <c r="JV44" s="173"/>
      <c r="JW44" s="11"/>
      <c r="JX44" s="11"/>
      <c r="JY44" s="11"/>
      <c r="JZ44" s="12"/>
      <c r="KA44" s="12"/>
      <c r="KB44" s="12"/>
      <c r="KC44" s="12"/>
      <c r="KD44" s="12"/>
      <c r="KE44" s="152"/>
      <c r="KF44" s="152"/>
      <c r="KG44" s="61"/>
      <c r="KH44" s="13"/>
      <c r="KI44" s="13"/>
      <c r="KJ44" s="13"/>
      <c r="KK44" s="60"/>
      <c r="KL44" s="99"/>
      <c r="KN44" s="165"/>
      <c r="KO44" s="166"/>
      <c r="KP44" s="167"/>
      <c r="KQ44" s="168"/>
      <c r="KR44" s="169"/>
      <c r="KS44" s="170"/>
      <c r="KT44" s="171"/>
      <c r="KU44" s="172"/>
      <c r="KV44" s="173"/>
      <c r="KW44" s="11"/>
      <c r="KX44" s="11"/>
      <c r="KY44" s="11"/>
      <c r="KZ44" s="12"/>
      <c r="LA44" s="12"/>
      <c r="LB44" s="12"/>
      <c r="LC44" s="12"/>
      <c r="LD44" s="12"/>
      <c r="LE44" s="152"/>
      <c r="LF44" s="152"/>
      <c r="LG44" s="61"/>
      <c r="LH44" s="13"/>
      <c r="LI44" s="13"/>
      <c r="LJ44" s="13"/>
      <c r="LK44" s="60"/>
      <c r="LL44" s="99"/>
      <c r="LO44" s="238"/>
    </row>
    <row r="45" spans="1:327" ht="15.5" thickTop="1" thickBot="1" x14ac:dyDescent="0.4">
      <c r="A45" s="52"/>
      <c r="B45" s="69"/>
      <c r="C45" s="70"/>
      <c r="D45" s="71"/>
      <c r="E45" s="55"/>
      <c r="F45" s="56"/>
      <c r="G45" s="57"/>
      <c r="H45" s="58"/>
      <c r="I45" s="54"/>
      <c r="J45" s="59"/>
      <c r="K45" s="55"/>
      <c r="L45" s="67"/>
      <c r="M45" s="164"/>
      <c r="N45" s="163"/>
      <c r="O45" s="166"/>
      <c r="P45" s="167"/>
      <c r="Q45" s="163"/>
      <c r="R45" s="169"/>
      <c r="S45" s="170"/>
      <c r="T45" s="171"/>
      <c r="U45" s="172"/>
      <c r="V45" s="173"/>
      <c r="W45" s="174"/>
      <c r="X45" s="174"/>
      <c r="Y45" s="174"/>
      <c r="Z45" s="175"/>
      <c r="AA45" s="175"/>
      <c r="AB45" s="175"/>
      <c r="AC45" s="175"/>
      <c r="AD45" s="175"/>
      <c r="AE45" s="176"/>
      <c r="AF45" s="176"/>
      <c r="AG45" s="61"/>
      <c r="AH45" s="177"/>
      <c r="AI45" s="177"/>
      <c r="AJ45" s="177"/>
      <c r="AK45" s="178"/>
      <c r="AL45" s="179"/>
      <c r="AN45" s="165"/>
      <c r="AO45" s="166"/>
      <c r="AP45" s="167"/>
      <c r="AQ45" s="168"/>
      <c r="AR45" s="169"/>
      <c r="AS45" s="170"/>
      <c r="AT45" s="171"/>
      <c r="AU45" s="172"/>
      <c r="AV45" s="173"/>
      <c r="AW45" s="11"/>
      <c r="AX45" s="11"/>
      <c r="AY45" s="11"/>
      <c r="AZ45" s="12"/>
      <c r="BA45" s="12"/>
      <c r="BB45" s="12"/>
      <c r="BC45" s="12"/>
      <c r="BD45" s="12"/>
      <c r="BE45" s="152"/>
      <c r="BF45" s="152"/>
      <c r="BG45" s="61"/>
      <c r="BH45" s="13"/>
      <c r="BI45" s="13"/>
      <c r="BJ45" s="13"/>
      <c r="BK45" s="60"/>
      <c r="BL45" s="99"/>
      <c r="BM45" s="14"/>
      <c r="BN45" s="165"/>
      <c r="BO45" s="166"/>
      <c r="BP45" s="167"/>
      <c r="BQ45" s="168"/>
      <c r="BR45" s="169"/>
      <c r="BS45" s="170"/>
      <c r="BT45" s="171"/>
      <c r="BU45" s="172"/>
      <c r="BV45" s="173"/>
      <c r="BW45" s="11"/>
      <c r="BX45" s="11"/>
      <c r="BY45" s="11"/>
      <c r="BZ45" s="12"/>
      <c r="CA45" s="12"/>
      <c r="CB45" s="12"/>
      <c r="CC45" s="12"/>
      <c r="CD45" s="12"/>
      <c r="CE45" s="152"/>
      <c r="CF45" s="152"/>
      <c r="CG45" s="61"/>
      <c r="CH45" s="13"/>
      <c r="CI45" s="13"/>
      <c r="CJ45" s="13"/>
      <c r="CK45" s="60"/>
      <c r="CL45" s="99"/>
      <c r="CN45" s="165"/>
      <c r="CO45" s="166"/>
      <c r="CP45" s="167"/>
      <c r="CQ45" s="168"/>
      <c r="CR45" s="169"/>
      <c r="CS45" s="170"/>
      <c r="CT45" s="171"/>
      <c r="CU45" s="172"/>
      <c r="CV45" s="173"/>
      <c r="CW45" s="11"/>
      <c r="CX45" s="11"/>
      <c r="CY45" s="11"/>
      <c r="CZ45" s="12"/>
      <c r="DA45" s="12"/>
      <c r="DB45" s="12"/>
      <c r="DC45" s="12"/>
      <c r="DD45" s="12"/>
      <c r="DE45" s="152"/>
      <c r="DF45" s="152"/>
      <c r="DG45" s="61"/>
      <c r="DH45" s="13"/>
      <c r="DI45" s="13"/>
      <c r="DJ45" s="13"/>
      <c r="DK45" s="60"/>
      <c r="DL45" s="99"/>
      <c r="DN45" s="165"/>
      <c r="DO45" s="166"/>
      <c r="DP45" s="167"/>
      <c r="DQ45" s="168"/>
      <c r="DR45" s="169"/>
      <c r="DS45" s="170"/>
      <c r="DT45" s="171"/>
      <c r="DU45" s="172"/>
      <c r="DV45" s="173"/>
      <c r="DW45" s="11"/>
      <c r="DX45" s="11"/>
      <c r="DY45" s="11"/>
      <c r="DZ45" s="12"/>
      <c r="EA45" s="12"/>
      <c r="EB45" s="12"/>
      <c r="EC45" s="12"/>
      <c r="ED45" s="12"/>
      <c r="EE45" s="152"/>
      <c r="EF45" s="152"/>
      <c r="EG45" s="61"/>
      <c r="EH45" s="13"/>
      <c r="EI45" s="13"/>
      <c r="EJ45" s="13"/>
      <c r="EK45" s="60"/>
      <c r="EL45" s="99"/>
      <c r="EN45" s="165"/>
      <c r="EO45" s="166"/>
      <c r="EP45" s="167"/>
      <c r="EQ45" s="168"/>
      <c r="ER45" s="169"/>
      <c r="ES45" s="170"/>
      <c r="ET45" s="171"/>
      <c r="EU45" s="172"/>
      <c r="EV45" s="173"/>
      <c r="EW45" s="11"/>
      <c r="EX45" s="11"/>
      <c r="EY45" s="11"/>
      <c r="EZ45" s="12"/>
      <c r="FA45" s="12"/>
      <c r="FB45" s="12"/>
      <c r="FC45" s="12"/>
      <c r="FD45" s="12"/>
      <c r="FE45" s="152"/>
      <c r="FF45" s="152"/>
      <c r="FG45" s="61"/>
      <c r="FH45" s="13"/>
      <c r="FI45" s="13"/>
      <c r="FJ45" s="13"/>
      <c r="FK45" s="60"/>
      <c r="FL45" s="99"/>
      <c r="FN45" s="165"/>
      <c r="FO45" s="166"/>
      <c r="FP45" s="167"/>
      <c r="FQ45" s="168"/>
      <c r="FR45" s="169"/>
      <c r="FS45" s="170"/>
      <c r="FT45" s="171"/>
      <c r="FU45" s="172"/>
      <c r="FV45" s="173"/>
      <c r="FW45" s="11"/>
      <c r="FX45" s="11"/>
      <c r="FY45" s="11"/>
      <c r="FZ45" s="12"/>
      <c r="GA45" s="12"/>
      <c r="GB45" s="12"/>
      <c r="GC45" s="12"/>
      <c r="GD45" s="12"/>
      <c r="GE45" s="152"/>
      <c r="GF45" s="152"/>
      <c r="GG45" s="61"/>
      <c r="GH45" s="13"/>
      <c r="GI45" s="13"/>
      <c r="GJ45" s="13"/>
      <c r="GK45" s="60"/>
      <c r="GL45" s="99"/>
      <c r="GN45" s="165"/>
      <c r="GO45" s="166"/>
      <c r="GP45" s="167"/>
      <c r="GQ45" s="168"/>
      <c r="GR45" s="169"/>
      <c r="GS45" s="170"/>
      <c r="GT45" s="171"/>
      <c r="GU45" s="172"/>
      <c r="GV45" s="173"/>
      <c r="GW45" s="11"/>
      <c r="GX45" s="11"/>
      <c r="GY45" s="11"/>
      <c r="GZ45" s="12"/>
      <c r="HA45" s="12"/>
      <c r="HB45" s="12"/>
      <c r="HC45" s="12"/>
      <c r="HD45" s="12"/>
      <c r="HE45" s="152"/>
      <c r="HF45" s="152"/>
      <c r="HG45" s="61"/>
      <c r="HH45" s="13"/>
      <c r="HI45" s="13"/>
      <c r="HJ45" s="13"/>
      <c r="HK45" s="60"/>
      <c r="HL45" s="99"/>
      <c r="HN45" s="165"/>
      <c r="HO45" s="166"/>
      <c r="HP45" s="167"/>
      <c r="HQ45" s="168"/>
      <c r="HR45" s="169"/>
      <c r="HS45" s="170"/>
      <c r="HT45" s="171"/>
      <c r="HU45" s="172"/>
      <c r="HV45" s="173"/>
      <c r="HW45" s="11"/>
      <c r="HX45" s="11"/>
      <c r="HY45" s="11"/>
      <c r="HZ45" s="12"/>
      <c r="IA45" s="12"/>
      <c r="IB45" s="12"/>
      <c r="IC45" s="12"/>
      <c r="ID45" s="12"/>
      <c r="IE45" s="152"/>
      <c r="IF45" s="152"/>
      <c r="IG45" s="61"/>
      <c r="IH45" s="13"/>
      <c r="II45" s="13"/>
      <c r="IJ45" s="13"/>
      <c r="IK45" s="60"/>
      <c r="IL45" s="99"/>
      <c r="IN45" s="165"/>
      <c r="IO45" s="166"/>
      <c r="IP45" s="167"/>
      <c r="IQ45" s="168"/>
      <c r="IR45" s="169"/>
      <c r="IS45" s="170"/>
      <c r="IT45" s="171"/>
      <c r="IU45" s="172"/>
      <c r="IV45" s="173"/>
      <c r="IW45" s="11"/>
      <c r="IX45" s="11"/>
      <c r="IY45" s="11"/>
      <c r="IZ45" s="12"/>
      <c r="JA45" s="12"/>
      <c r="JB45" s="12"/>
      <c r="JC45" s="12"/>
      <c r="JD45" s="12"/>
      <c r="JE45" s="152"/>
      <c r="JF45" s="152"/>
      <c r="JG45" s="61"/>
      <c r="JH45" s="13"/>
      <c r="JI45" s="13"/>
      <c r="JJ45" s="13"/>
      <c r="JK45" s="60"/>
      <c r="JL45" s="99"/>
      <c r="JN45" s="165"/>
      <c r="JO45" s="166"/>
      <c r="JP45" s="167"/>
      <c r="JQ45" s="168"/>
      <c r="JR45" s="169"/>
      <c r="JS45" s="170"/>
      <c r="JT45" s="171"/>
      <c r="JU45" s="172"/>
      <c r="JV45" s="173"/>
      <c r="JW45" s="11"/>
      <c r="JX45" s="11"/>
      <c r="JY45" s="11"/>
      <c r="JZ45" s="12"/>
      <c r="KA45" s="12"/>
      <c r="KB45" s="12"/>
      <c r="KC45" s="12"/>
      <c r="KD45" s="12"/>
      <c r="KE45" s="152"/>
      <c r="KF45" s="152"/>
      <c r="KG45" s="61"/>
      <c r="KH45" s="13"/>
      <c r="KI45" s="13"/>
      <c r="KJ45" s="13"/>
      <c r="KK45" s="60"/>
      <c r="KL45" s="99"/>
      <c r="KN45" s="165"/>
      <c r="KO45" s="166"/>
      <c r="KP45" s="167"/>
      <c r="KQ45" s="168"/>
      <c r="KR45" s="169"/>
      <c r="KS45" s="170"/>
      <c r="KT45" s="171"/>
      <c r="KU45" s="172"/>
      <c r="KV45" s="173"/>
      <c r="KW45" s="11"/>
      <c r="KX45" s="11"/>
      <c r="KY45" s="11"/>
      <c r="KZ45" s="12"/>
      <c r="LA45" s="12"/>
      <c r="LB45" s="12"/>
      <c r="LC45" s="12"/>
      <c r="LD45" s="12"/>
      <c r="LE45" s="152"/>
      <c r="LF45" s="152"/>
      <c r="LG45" s="61"/>
      <c r="LH45" s="13"/>
      <c r="LI45" s="13"/>
      <c r="LJ45" s="13"/>
      <c r="LK45" s="60"/>
      <c r="LL45" s="99"/>
      <c r="LO45" s="238"/>
    </row>
    <row r="46" spans="1:327" s="112" customFormat="1" ht="15.5" thickTop="1" thickBot="1" x14ac:dyDescent="0.4">
      <c r="A46" s="100"/>
      <c r="B46" s="101"/>
      <c r="C46" s="102"/>
      <c r="D46" s="103"/>
      <c r="E46" s="103"/>
      <c r="F46" s="104"/>
      <c r="G46" s="105"/>
      <c r="H46" s="106"/>
      <c r="I46" s="102"/>
      <c r="J46" s="107"/>
      <c r="K46" s="108"/>
      <c r="L46" s="109"/>
      <c r="M46" s="110"/>
      <c r="N46" s="91"/>
      <c r="O46" s="91"/>
      <c r="P46" s="91">
        <f t="shared" ref="P46:AJ46" si="0">SUM(P7:P45)</f>
        <v>0</v>
      </c>
      <c r="Q46" s="91">
        <f t="shared" si="0"/>
        <v>0</v>
      </c>
      <c r="R46" s="91">
        <f t="shared" si="0"/>
        <v>0</v>
      </c>
      <c r="S46" s="91">
        <f t="shared" si="0"/>
        <v>0</v>
      </c>
      <c r="T46" s="91">
        <f t="shared" si="0"/>
        <v>0</v>
      </c>
      <c r="U46" s="91">
        <f t="shared" si="0"/>
        <v>0</v>
      </c>
      <c r="V46" s="91">
        <f t="shared" si="0"/>
        <v>0</v>
      </c>
      <c r="W46" s="91">
        <f t="shared" si="0"/>
        <v>0</v>
      </c>
      <c r="X46" s="91">
        <f t="shared" si="0"/>
        <v>0</v>
      </c>
      <c r="Y46" s="91">
        <f t="shared" si="0"/>
        <v>0</v>
      </c>
      <c r="Z46" s="91">
        <f t="shared" si="0"/>
        <v>0</v>
      </c>
      <c r="AA46" s="91">
        <f t="shared" si="0"/>
        <v>0</v>
      </c>
      <c r="AB46" s="91">
        <f t="shared" si="0"/>
        <v>0</v>
      </c>
      <c r="AC46" s="91">
        <f t="shared" si="0"/>
        <v>0</v>
      </c>
      <c r="AD46" s="91">
        <f t="shared" si="0"/>
        <v>0</v>
      </c>
      <c r="AE46" s="91">
        <f t="shared" si="0"/>
        <v>0</v>
      </c>
      <c r="AF46" s="91">
        <f t="shared" si="0"/>
        <v>0</v>
      </c>
      <c r="AG46" s="91">
        <f t="shared" si="0"/>
        <v>0</v>
      </c>
      <c r="AH46" s="91">
        <f t="shared" si="0"/>
        <v>0</v>
      </c>
      <c r="AI46" s="91">
        <f t="shared" si="0"/>
        <v>0</v>
      </c>
      <c r="AJ46" s="91">
        <f t="shared" si="0"/>
        <v>0</v>
      </c>
      <c r="AK46" s="91">
        <f>SUM(AK7:APD45)</f>
        <v>0</v>
      </c>
      <c r="AL46" s="111">
        <f>SUM(AL7:AL45)</f>
        <v>0</v>
      </c>
      <c r="AN46" s="91"/>
      <c r="AO46" s="91"/>
      <c r="AP46" s="91">
        <f t="shared" ref="AP46:BJ46" si="1">SUM(AP7:AP45)</f>
        <v>0</v>
      </c>
      <c r="AQ46" s="91">
        <f t="shared" si="1"/>
        <v>0</v>
      </c>
      <c r="AR46" s="91">
        <f t="shared" si="1"/>
        <v>0</v>
      </c>
      <c r="AS46" s="91">
        <f t="shared" si="1"/>
        <v>0</v>
      </c>
      <c r="AT46" s="91">
        <f t="shared" si="1"/>
        <v>0</v>
      </c>
      <c r="AU46" s="91">
        <f t="shared" si="1"/>
        <v>0</v>
      </c>
      <c r="AV46" s="91">
        <f t="shared" si="1"/>
        <v>0</v>
      </c>
      <c r="AW46" s="91">
        <f t="shared" si="1"/>
        <v>0</v>
      </c>
      <c r="AX46" s="91">
        <f t="shared" si="1"/>
        <v>0</v>
      </c>
      <c r="AY46" s="91">
        <f t="shared" si="1"/>
        <v>0</v>
      </c>
      <c r="AZ46" s="91">
        <f t="shared" si="1"/>
        <v>0</v>
      </c>
      <c r="BA46" s="91">
        <f t="shared" si="1"/>
        <v>0</v>
      </c>
      <c r="BB46" s="91">
        <f t="shared" si="1"/>
        <v>0</v>
      </c>
      <c r="BC46" s="91">
        <f t="shared" si="1"/>
        <v>0</v>
      </c>
      <c r="BD46" s="91">
        <f t="shared" si="1"/>
        <v>0</v>
      </c>
      <c r="BE46" s="91">
        <f t="shared" si="1"/>
        <v>0</v>
      </c>
      <c r="BF46" s="91">
        <f t="shared" si="1"/>
        <v>0</v>
      </c>
      <c r="BG46" s="91">
        <f t="shared" si="1"/>
        <v>0</v>
      </c>
      <c r="BH46" s="91">
        <f t="shared" si="1"/>
        <v>0</v>
      </c>
      <c r="BI46" s="91">
        <f t="shared" si="1"/>
        <v>0</v>
      </c>
      <c r="BJ46" s="91">
        <f t="shared" si="1"/>
        <v>0</v>
      </c>
      <c r="BK46" s="91">
        <f>SUM(BK7:AQD45)</f>
        <v>0</v>
      </c>
      <c r="BL46" s="111">
        <f>SUM(BL7:BL45)</f>
        <v>0</v>
      </c>
      <c r="BN46" s="91"/>
      <c r="BO46" s="91"/>
      <c r="BP46" s="91">
        <f t="shared" ref="BP46:CJ46" si="2">SUM(BP7:BP45)</f>
        <v>0</v>
      </c>
      <c r="BQ46" s="91">
        <f t="shared" si="2"/>
        <v>0</v>
      </c>
      <c r="BR46" s="91">
        <f t="shared" si="2"/>
        <v>0</v>
      </c>
      <c r="BS46" s="91">
        <f t="shared" si="2"/>
        <v>0</v>
      </c>
      <c r="BT46" s="91">
        <f t="shared" si="2"/>
        <v>0</v>
      </c>
      <c r="BU46" s="91">
        <f t="shared" si="2"/>
        <v>0</v>
      </c>
      <c r="BV46" s="91">
        <f t="shared" si="2"/>
        <v>0</v>
      </c>
      <c r="BW46" s="91">
        <f t="shared" si="2"/>
        <v>0</v>
      </c>
      <c r="BX46" s="91">
        <f t="shared" si="2"/>
        <v>0</v>
      </c>
      <c r="BY46" s="91">
        <f t="shared" si="2"/>
        <v>0</v>
      </c>
      <c r="BZ46" s="91">
        <f t="shared" si="2"/>
        <v>0</v>
      </c>
      <c r="CA46" s="91">
        <f t="shared" si="2"/>
        <v>0</v>
      </c>
      <c r="CB46" s="91">
        <f t="shared" si="2"/>
        <v>0</v>
      </c>
      <c r="CC46" s="91">
        <f t="shared" si="2"/>
        <v>0</v>
      </c>
      <c r="CD46" s="91">
        <f t="shared" si="2"/>
        <v>0</v>
      </c>
      <c r="CE46" s="91">
        <f t="shared" si="2"/>
        <v>0</v>
      </c>
      <c r="CF46" s="91">
        <f t="shared" si="2"/>
        <v>0</v>
      </c>
      <c r="CG46" s="91">
        <f t="shared" si="2"/>
        <v>0</v>
      </c>
      <c r="CH46" s="91">
        <f t="shared" si="2"/>
        <v>0</v>
      </c>
      <c r="CI46" s="91">
        <f t="shared" si="2"/>
        <v>0</v>
      </c>
      <c r="CJ46" s="91">
        <f t="shared" si="2"/>
        <v>0</v>
      </c>
      <c r="CK46" s="91">
        <f>SUM(CK7:ARD45)</f>
        <v>0</v>
      </c>
      <c r="CL46" s="111">
        <f>SUM(CL7:CL45)</f>
        <v>0</v>
      </c>
      <c r="CN46" s="91"/>
      <c r="CO46" s="91"/>
      <c r="CP46" s="91">
        <f t="shared" ref="CP46:DJ46" si="3">SUM(CP7:CP45)</f>
        <v>0</v>
      </c>
      <c r="CQ46" s="91">
        <f t="shared" si="3"/>
        <v>0</v>
      </c>
      <c r="CR46" s="91">
        <f t="shared" si="3"/>
        <v>0</v>
      </c>
      <c r="CS46" s="91">
        <f t="shared" si="3"/>
        <v>0</v>
      </c>
      <c r="CT46" s="91">
        <f t="shared" si="3"/>
        <v>0</v>
      </c>
      <c r="CU46" s="91">
        <f t="shared" si="3"/>
        <v>0</v>
      </c>
      <c r="CV46" s="91">
        <f t="shared" si="3"/>
        <v>0</v>
      </c>
      <c r="CW46" s="91">
        <f t="shared" si="3"/>
        <v>0</v>
      </c>
      <c r="CX46" s="91">
        <f t="shared" si="3"/>
        <v>0</v>
      </c>
      <c r="CY46" s="91">
        <f t="shared" si="3"/>
        <v>0</v>
      </c>
      <c r="CZ46" s="91">
        <f t="shared" si="3"/>
        <v>0</v>
      </c>
      <c r="DA46" s="91">
        <f t="shared" si="3"/>
        <v>0</v>
      </c>
      <c r="DB46" s="91">
        <f t="shared" si="3"/>
        <v>0</v>
      </c>
      <c r="DC46" s="91">
        <f t="shared" si="3"/>
        <v>0</v>
      </c>
      <c r="DD46" s="91">
        <f t="shared" si="3"/>
        <v>0</v>
      </c>
      <c r="DE46" s="91">
        <f t="shared" si="3"/>
        <v>0</v>
      </c>
      <c r="DF46" s="91">
        <f t="shared" si="3"/>
        <v>0</v>
      </c>
      <c r="DG46" s="91">
        <f t="shared" si="3"/>
        <v>0</v>
      </c>
      <c r="DH46" s="91">
        <f t="shared" si="3"/>
        <v>0</v>
      </c>
      <c r="DI46" s="91">
        <f t="shared" si="3"/>
        <v>0</v>
      </c>
      <c r="DJ46" s="91">
        <f t="shared" si="3"/>
        <v>0</v>
      </c>
      <c r="DK46" s="91">
        <f>SUM(DK7:ASD45)</f>
        <v>0</v>
      </c>
      <c r="DL46" s="111">
        <f>SUM(DL7:DL45)</f>
        <v>0</v>
      </c>
      <c r="DN46" s="91"/>
      <c r="DO46" s="91"/>
      <c r="DP46" s="91">
        <f t="shared" ref="DP46:EJ46" si="4">SUM(DP7:DP45)</f>
        <v>0</v>
      </c>
      <c r="DQ46" s="91">
        <f t="shared" si="4"/>
        <v>0</v>
      </c>
      <c r="DR46" s="91">
        <f t="shared" si="4"/>
        <v>0</v>
      </c>
      <c r="DS46" s="91">
        <f t="shared" si="4"/>
        <v>0</v>
      </c>
      <c r="DT46" s="91">
        <f t="shared" si="4"/>
        <v>0</v>
      </c>
      <c r="DU46" s="91">
        <f t="shared" si="4"/>
        <v>0</v>
      </c>
      <c r="DV46" s="91">
        <f t="shared" si="4"/>
        <v>0</v>
      </c>
      <c r="DW46" s="91">
        <f t="shared" si="4"/>
        <v>0</v>
      </c>
      <c r="DX46" s="91">
        <f t="shared" si="4"/>
        <v>0</v>
      </c>
      <c r="DY46" s="91">
        <f t="shared" si="4"/>
        <v>0</v>
      </c>
      <c r="DZ46" s="91">
        <f t="shared" si="4"/>
        <v>0</v>
      </c>
      <c r="EA46" s="91">
        <f t="shared" si="4"/>
        <v>0</v>
      </c>
      <c r="EB46" s="91">
        <f t="shared" si="4"/>
        <v>0</v>
      </c>
      <c r="EC46" s="91">
        <f t="shared" si="4"/>
        <v>0</v>
      </c>
      <c r="ED46" s="91">
        <f t="shared" si="4"/>
        <v>0</v>
      </c>
      <c r="EE46" s="91">
        <f t="shared" si="4"/>
        <v>0</v>
      </c>
      <c r="EF46" s="91">
        <f t="shared" si="4"/>
        <v>0</v>
      </c>
      <c r="EG46" s="91">
        <f t="shared" si="4"/>
        <v>0</v>
      </c>
      <c r="EH46" s="91">
        <f t="shared" si="4"/>
        <v>0</v>
      </c>
      <c r="EI46" s="91">
        <f t="shared" si="4"/>
        <v>0</v>
      </c>
      <c r="EJ46" s="91">
        <f t="shared" si="4"/>
        <v>0</v>
      </c>
      <c r="EK46" s="91">
        <f>SUM(EK7:ATD45)</f>
        <v>0</v>
      </c>
      <c r="EL46" s="111">
        <f>SUM(EL7:EL45)</f>
        <v>0</v>
      </c>
      <c r="EN46" s="91"/>
      <c r="EO46" s="91"/>
      <c r="EP46" s="91">
        <f t="shared" ref="EP46:FJ46" si="5">SUM(EP7:EP45)</f>
        <v>0</v>
      </c>
      <c r="EQ46" s="91">
        <f t="shared" si="5"/>
        <v>0</v>
      </c>
      <c r="ER46" s="91">
        <f t="shared" si="5"/>
        <v>0</v>
      </c>
      <c r="ES46" s="91">
        <f t="shared" si="5"/>
        <v>0</v>
      </c>
      <c r="ET46" s="91">
        <f t="shared" si="5"/>
        <v>0</v>
      </c>
      <c r="EU46" s="91">
        <f t="shared" si="5"/>
        <v>0</v>
      </c>
      <c r="EV46" s="91">
        <f t="shared" si="5"/>
        <v>0</v>
      </c>
      <c r="EW46" s="91">
        <f t="shared" si="5"/>
        <v>0</v>
      </c>
      <c r="EX46" s="91">
        <f t="shared" si="5"/>
        <v>0</v>
      </c>
      <c r="EY46" s="91">
        <f t="shared" si="5"/>
        <v>0</v>
      </c>
      <c r="EZ46" s="91">
        <f t="shared" si="5"/>
        <v>0</v>
      </c>
      <c r="FA46" s="91">
        <f t="shared" si="5"/>
        <v>0</v>
      </c>
      <c r="FB46" s="91">
        <f t="shared" si="5"/>
        <v>0</v>
      </c>
      <c r="FC46" s="91">
        <f t="shared" si="5"/>
        <v>0</v>
      </c>
      <c r="FD46" s="91">
        <f t="shared" si="5"/>
        <v>0</v>
      </c>
      <c r="FE46" s="91">
        <f t="shared" si="5"/>
        <v>0</v>
      </c>
      <c r="FF46" s="91">
        <f t="shared" si="5"/>
        <v>0</v>
      </c>
      <c r="FG46" s="91">
        <f t="shared" si="5"/>
        <v>0</v>
      </c>
      <c r="FH46" s="91">
        <f t="shared" si="5"/>
        <v>0</v>
      </c>
      <c r="FI46" s="91">
        <f t="shared" si="5"/>
        <v>0</v>
      </c>
      <c r="FJ46" s="91">
        <f t="shared" si="5"/>
        <v>0</v>
      </c>
      <c r="FK46" s="91">
        <f>SUM(FK7:AUD45)</f>
        <v>0</v>
      </c>
      <c r="FL46" s="111">
        <f>SUM(FL7:FL45)</f>
        <v>0</v>
      </c>
      <c r="FN46" s="91"/>
      <c r="FO46" s="91"/>
      <c r="FP46" s="91">
        <f t="shared" ref="FP46:GJ46" si="6">SUM(FP7:FP45)</f>
        <v>0</v>
      </c>
      <c r="FQ46" s="91">
        <f t="shared" si="6"/>
        <v>0</v>
      </c>
      <c r="FR46" s="91">
        <f t="shared" si="6"/>
        <v>0</v>
      </c>
      <c r="FS46" s="91">
        <f t="shared" si="6"/>
        <v>0</v>
      </c>
      <c r="FT46" s="91">
        <f t="shared" si="6"/>
        <v>0</v>
      </c>
      <c r="FU46" s="91">
        <f t="shared" si="6"/>
        <v>0</v>
      </c>
      <c r="FV46" s="91">
        <f t="shared" si="6"/>
        <v>0</v>
      </c>
      <c r="FW46" s="91">
        <f t="shared" si="6"/>
        <v>0</v>
      </c>
      <c r="FX46" s="91">
        <f t="shared" si="6"/>
        <v>0</v>
      </c>
      <c r="FY46" s="91">
        <f t="shared" si="6"/>
        <v>0</v>
      </c>
      <c r="FZ46" s="91">
        <f t="shared" si="6"/>
        <v>0</v>
      </c>
      <c r="GA46" s="91">
        <f t="shared" si="6"/>
        <v>0</v>
      </c>
      <c r="GB46" s="91">
        <f t="shared" si="6"/>
        <v>0</v>
      </c>
      <c r="GC46" s="91">
        <f t="shared" si="6"/>
        <v>0</v>
      </c>
      <c r="GD46" s="91">
        <f t="shared" si="6"/>
        <v>0</v>
      </c>
      <c r="GE46" s="91">
        <f t="shared" si="6"/>
        <v>0</v>
      </c>
      <c r="GF46" s="91">
        <f t="shared" si="6"/>
        <v>0</v>
      </c>
      <c r="GG46" s="91">
        <f t="shared" si="6"/>
        <v>0</v>
      </c>
      <c r="GH46" s="91">
        <f t="shared" si="6"/>
        <v>0</v>
      </c>
      <c r="GI46" s="91">
        <f t="shared" si="6"/>
        <v>0</v>
      </c>
      <c r="GJ46" s="91">
        <f t="shared" si="6"/>
        <v>0</v>
      </c>
      <c r="GK46" s="91">
        <f>SUM(GK7:AVD45)</f>
        <v>0</v>
      </c>
      <c r="GL46" s="111">
        <f>SUM(GL7:GL45)</f>
        <v>0</v>
      </c>
      <c r="GN46" s="91"/>
      <c r="GO46" s="91"/>
      <c r="GP46" s="91">
        <f t="shared" ref="GP46:HJ46" si="7">SUM(GP7:GP45)</f>
        <v>0</v>
      </c>
      <c r="GQ46" s="91">
        <f t="shared" si="7"/>
        <v>0</v>
      </c>
      <c r="GR46" s="91">
        <f t="shared" si="7"/>
        <v>0</v>
      </c>
      <c r="GS46" s="91">
        <f t="shared" si="7"/>
        <v>0</v>
      </c>
      <c r="GT46" s="91">
        <f t="shared" si="7"/>
        <v>0</v>
      </c>
      <c r="GU46" s="91">
        <f t="shared" si="7"/>
        <v>0</v>
      </c>
      <c r="GV46" s="91">
        <f t="shared" si="7"/>
        <v>0</v>
      </c>
      <c r="GW46" s="91">
        <f t="shared" si="7"/>
        <v>0</v>
      </c>
      <c r="GX46" s="91">
        <f t="shared" si="7"/>
        <v>0</v>
      </c>
      <c r="GY46" s="91">
        <f t="shared" si="7"/>
        <v>0</v>
      </c>
      <c r="GZ46" s="91">
        <f t="shared" si="7"/>
        <v>0</v>
      </c>
      <c r="HA46" s="91">
        <f t="shared" si="7"/>
        <v>0</v>
      </c>
      <c r="HB46" s="91">
        <f t="shared" si="7"/>
        <v>0</v>
      </c>
      <c r="HC46" s="91">
        <f t="shared" si="7"/>
        <v>0</v>
      </c>
      <c r="HD46" s="91">
        <f t="shared" si="7"/>
        <v>0</v>
      </c>
      <c r="HE46" s="91">
        <f t="shared" si="7"/>
        <v>0</v>
      </c>
      <c r="HF46" s="91">
        <f t="shared" si="7"/>
        <v>0</v>
      </c>
      <c r="HG46" s="91">
        <f t="shared" si="7"/>
        <v>0</v>
      </c>
      <c r="HH46" s="91">
        <f t="shared" si="7"/>
        <v>0</v>
      </c>
      <c r="HI46" s="91">
        <f t="shared" si="7"/>
        <v>0</v>
      </c>
      <c r="HJ46" s="91">
        <f t="shared" si="7"/>
        <v>0</v>
      </c>
      <c r="HK46" s="91">
        <f>SUM(HK7:AWD45)</f>
        <v>0</v>
      </c>
      <c r="HL46" s="111">
        <f>SUM(HL7:HL45)</f>
        <v>0</v>
      </c>
      <c r="HN46" s="91"/>
      <c r="HO46" s="91"/>
      <c r="HP46" s="91">
        <f t="shared" ref="HP46:IJ46" si="8">SUM(HP7:HP45)</f>
        <v>0</v>
      </c>
      <c r="HQ46" s="91">
        <f t="shared" si="8"/>
        <v>0</v>
      </c>
      <c r="HR46" s="91">
        <f t="shared" si="8"/>
        <v>0</v>
      </c>
      <c r="HS46" s="91">
        <f t="shared" si="8"/>
        <v>0</v>
      </c>
      <c r="HT46" s="91">
        <f t="shared" si="8"/>
        <v>0</v>
      </c>
      <c r="HU46" s="91">
        <f t="shared" si="8"/>
        <v>0</v>
      </c>
      <c r="HV46" s="91">
        <f t="shared" si="8"/>
        <v>0</v>
      </c>
      <c r="HW46" s="91">
        <f t="shared" si="8"/>
        <v>0</v>
      </c>
      <c r="HX46" s="91">
        <f t="shared" si="8"/>
        <v>0</v>
      </c>
      <c r="HY46" s="91">
        <f t="shared" si="8"/>
        <v>0</v>
      </c>
      <c r="HZ46" s="91">
        <f t="shared" si="8"/>
        <v>0</v>
      </c>
      <c r="IA46" s="91">
        <f t="shared" si="8"/>
        <v>0</v>
      </c>
      <c r="IB46" s="91">
        <f t="shared" si="8"/>
        <v>0</v>
      </c>
      <c r="IC46" s="91">
        <f t="shared" si="8"/>
        <v>0</v>
      </c>
      <c r="ID46" s="91">
        <f t="shared" si="8"/>
        <v>0</v>
      </c>
      <c r="IE46" s="91">
        <f t="shared" si="8"/>
        <v>0</v>
      </c>
      <c r="IF46" s="91">
        <f t="shared" si="8"/>
        <v>0</v>
      </c>
      <c r="IG46" s="91">
        <f t="shared" si="8"/>
        <v>0</v>
      </c>
      <c r="IH46" s="91">
        <f t="shared" si="8"/>
        <v>0</v>
      </c>
      <c r="II46" s="91">
        <f t="shared" si="8"/>
        <v>0</v>
      </c>
      <c r="IJ46" s="91">
        <f t="shared" si="8"/>
        <v>0</v>
      </c>
      <c r="IK46" s="91">
        <f>SUM(IK7:AXD45)</f>
        <v>0</v>
      </c>
      <c r="IL46" s="111">
        <f>SUM(IL7:IL45)</f>
        <v>0</v>
      </c>
      <c r="IN46" s="91"/>
      <c r="IO46" s="91"/>
      <c r="IP46" s="91">
        <f t="shared" ref="IP46:JJ46" si="9">SUM(IP7:IP45)</f>
        <v>0</v>
      </c>
      <c r="IQ46" s="91">
        <f t="shared" si="9"/>
        <v>0</v>
      </c>
      <c r="IR46" s="91">
        <f t="shared" si="9"/>
        <v>0</v>
      </c>
      <c r="IS46" s="91">
        <f t="shared" si="9"/>
        <v>0</v>
      </c>
      <c r="IT46" s="91">
        <f t="shared" si="9"/>
        <v>0</v>
      </c>
      <c r="IU46" s="91">
        <f t="shared" si="9"/>
        <v>0</v>
      </c>
      <c r="IV46" s="91">
        <f t="shared" si="9"/>
        <v>0</v>
      </c>
      <c r="IW46" s="91">
        <f t="shared" si="9"/>
        <v>0</v>
      </c>
      <c r="IX46" s="91">
        <f t="shared" si="9"/>
        <v>0</v>
      </c>
      <c r="IY46" s="91">
        <f t="shared" si="9"/>
        <v>0</v>
      </c>
      <c r="IZ46" s="91">
        <f t="shared" si="9"/>
        <v>0</v>
      </c>
      <c r="JA46" s="91">
        <f t="shared" si="9"/>
        <v>0</v>
      </c>
      <c r="JB46" s="91">
        <f t="shared" si="9"/>
        <v>0</v>
      </c>
      <c r="JC46" s="91">
        <f t="shared" si="9"/>
        <v>0</v>
      </c>
      <c r="JD46" s="91">
        <f t="shared" si="9"/>
        <v>0</v>
      </c>
      <c r="JE46" s="91">
        <f t="shared" si="9"/>
        <v>0</v>
      </c>
      <c r="JF46" s="91">
        <f t="shared" si="9"/>
        <v>0</v>
      </c>
      <c r="JG46" s="91">
        <f t="shared" si="9"/>
        <v>0</v>
      </c>
      <c r="JH46" s="91">
        <f t="shared" si="9"/>
        <v>0</v>
      </c>
      <c r="JI46" s="91">
        <f t="shared" si="9"/>
        <v>0</v>
      </c>
      <c r="JJ46" s="91">
        <f t="shared" si="9"/>
        <v>0</v>
      </c>
      <c r="JK46" s="91">
        <f>SUM(JK7:AYD45)</f>
        <v>0</v>
      </c>
      <c r="JL46" s="111">
        <f>SUM(JL7:JL45)</f>
        <v>0</v>
      </c>
      <c r="JN46" s="91"/>
      <c r="JO46" s="91"/>
      <c r="JP46" s="91">
        <f t="shared" ref="JP46:KJ46" si="10">SUM(JP7:JP45)</f>
        <v>0</v>
      </c>
      <c r="JQ46" s="91">
        <f t="shared" si="10"/>
        <v>0</v>
      </c>
      <c r="JR46" s="91">
        <f t="shared" si="10"/>
        <v>0</v>
      </c>
      <c r="JS46" s="91">
        <f t="shared" si="10"/>
        <v>0</v>
      </c>
      <c r="JT46" s="91">
        <f t="shared" si="10"/>
        <v>0</v>
      </c>
      <c r="JU46" s="91">
        <f t="shared" si="10"/>
        <v>0</v>
      </c>
      <c r="JV46" s="91">
        <f t="shared" si="10"/>
        <v>0</v>
      </c>
      <c r="JW46" s="91">
        <f t="shared" si="10"/>
        <v>0</v>
      </c>
      <c r="JX46" s="91">
        <f t="shared" si="10"/>
        <v>0</v>
      </c>
      <c r="JY46" s="91">
        <f t="shared" si="10"/>
        <v>0</v>
      </c>
      <c r="JZ46" s="91">
        <f t="shared" si="10"/>
        <v>0</v>
      </c>
      <c r="KA46" s="91">
        <f t="shared" si="10"/>
        <v>0</v>
      </c>
      <c r="KB46" s="91">
        <f t="shared" si="10"/>
        <v>0</v>
      </c>
      <c r="KC46" s="91">
        <f t="shared" si="10"/>
        <v>0</v>
      </c>
      <c r="KD46" s="91">
        <f t="shared" si="10"/>
        <v>0</v>
      </c>
      <c r="KE46" s="91">
        <f t="shared" si="10"/>
        <v>0</v>
      </c>
      <c r="KF46" s="91">
        <f t="shared" si="10"/>
        <v>0</v>
      </c>
      <c r="KG46" s="91">
        <f t="shared" si="10"/>
        <v>0</v>
      </c>
      <c r="KH46" s="91">
        <f t="shared" si="10"/>
        <v>0</v>
      </c>
      <c r="KI46" s="91">
        <f t="shared" si="10"/>
        <v>0</v>
      </c>
      <c r="KJ46" s="91">
        <f t="shared" si="10"/>
        <v>0</v>
      </c>
      <c r="KK46" s="91">
        <f>SUM(KK7:AZD45)</f>
        <v>0</v>
      </c>
      <c r="KL46" s="111">
        <f>SUM(KL7:KL45)</f>
        <v>0</v>
      </c>
      <c r="KN46" s="91"/>
      <c r="KO46" s="91"/>
      <c r="KP46" s="91">
        <f t="shared" ref="KP46:LJ46" si="11">SUM(KP7:KP45)</f>
        <v>0</v>
      </c>
      <c r="KQ46" s="91">
        <f t="shared" si="11"/>
        <v>0</v>
      </c>
      <c r="KR46" s="91">
        <f t="shared" si="11"/>
        <v>0</v>
      </c>
      <c r="KS46" s="91">
        <f t="shared" si="11"/>
        <v>0</v>
      </c>
      <c r="KT46" s="91">
        <f t="shared" si="11"/>
        <v>0</v>
      </c>
      <c r="KU46" s="91">
        <f t="shared" si="11"/>
        <v>0</v>
      </c>
      <c r="KV46" s="91">
        <f t="shared" si="11"/>
        <v>0</v>
      </c>
      <c r="KW46" s="91">
        <f t="shared" si="11"/>
        <v>0</v>
      </c>
      <c r="KX46" s="91">
        <f t="shared" si="11"/>
        <v>0</v>
      </c>
      <c r="KY46" s="91">
        <f t="shared" si="11"/>
        <v>0</v>
      </c>
      <c r="KZ46" s="91">
        <f t="shared" si="11"/>
        <v>0</v>
      </c>
      <c r="LA46" s="91">
        <f t="shared" si="11"/>
        <v>0</v>
      </c>
      <c r="LB46" s="91">
        <f t="shared" si="11"/>
        <v>0</v>
      </c>
      <c r="LC46" s="91">
        <f t="shared" si="11"/>
        <v>0</v>
      </c>
      <c r="LD46" s="91">
        <f t="shared" si="11"/>
        <v>0</v>
      </c>
      <c r="LE46" s="91">
        <f t="shared" si="11"/>
        <v>0</v>
      </c>
      <c r="LF46" s="91">
        <f t="shared" si="11"/>
        <v>0</v>
      </c>
      <c r="LG46" s="91">
        <f t="shared" si="11"/>
        <v>0</v>
      </c>
      <c r="LH46" s="91">
        <f t="shared" si="11"/>
        <v>0</v>
      </c>
      <c r="LI46" s="91">
        <f t="shared" si="11"/>
        <v>0</v>
      </c>
      <c r="LJ46" s="91">
        <f t="shared" si="11"/>
        <v>0</v>
      </c>
      <c r="LK46" s="91">
        <f>SUM(LK7:BAD45)</f>
        <v>0</v>
      </c>
      <c r="LL46" s="111">
        <f>SUM(LL7:LL45)</f>
        <v>0</v>
      </c>
      <c r="LO46" s="239">
        <f>SUM(LO7:LO45)</f>
        <v>0</v>
      </c>
    </row>
    <row r="47" spans="1:327" ht="15" thickTop="1" x14ac:dyDescent="0.35"/>
    <row r="48" spans="1:327" x14ac:dyDescent="0.35">
      <c r="AE48" s="156" t="s">
        <v>130</v>
      </c>
      <c r="AF48" s="155">
        <f>AE46+AF46</f>
        <v>0</v>
      </c>
      <c r="BE48" s="156" t="s">
        <v>130</v>
      </c>
      <c r="BF48" s="155">
        <f>BE46+BF46</f>
        <v>0</v>
      </c>
      <c r="CE48" s="156" t="s">
        <v>130</v>
      </c>
      <c r="CF48" s="155">
        <f>CE46+CF46</f>
        <v>0</v>
      </c>
      <c r="DE48" s="156" t="s">
        <v>130</v>
      </c>
      <c r="DF48" s="155">
        <f>DE46+DF46</f>
        <v>0</v>
      </c>
      <c r="EE48" s="156" t="s">
        <v>130</v>
      </c>
      <c r="EF48" s="155">
        <f>EE46+EF46</f>
        <v>0</v>
      </c>
      <c r="FE48" s="156" t="s">
        <v>130</v>
      </c>
      <c r="FF48" s="155">
        <f>FE46+FF46</f>
        <v>0</v>
      </c>
      <c r="GE48" s="156" t="s">
        <v>130</v>
      </c>
      <c r="GF48" s="155">
        <f>GE46+GF46</f>
        <v>0</v>
      </c>
      <c r="HE48" s="156" t="s">
        <v>130</v>
      </c>
      <c r="HF48" s="155">
        <f>HE46+HF46</f>
        <v>0</v>
      </c>
      <c r="IE48" s="156" t="s">
        <v>130</v>
      </c>
      <c r="IF48" s="155">
        <f>IE46+IF46</f>
        <v>0</v>
      </c>
      <c r="JE48" s="156" t="s">
        <v>130</v>
      </c>
      <c r="JF48" s="155">
        <f>JE46+JF46</f>
        <v>0</v>
      </c>
      <c r="KE48" s="156" t="s">
        <v>130</v>
      </c>
      <c r="KF48" s="155">
        <f>KE46+KF46</f>
        <v>0</v>
      </c>
      <c r="LE48" s="156" t="s">
        <v>130</v>
      </c>
      <c r="LF48" s="155">
        <f>LE46+LF46</f>
        <v>0</v>
      </c>
    </row>
  </sheetData>
  <sheetProtection selectLockedCells="1"/>
  <autoFilter ref="A6:M15" xr:uid="{00000000-0009-0000-0000-000000000000}"/>
  <mergeCells count="192">
    <mergeCell ref="K4:K5"/>
    <mergeCell ref="M4:M5"/>
    <mergeCell ref="L4:L5"/>
    <mergeCell ref="I4:I5"/>
    <mergeCell ref="D4:D5"/>
    <mergeCell ref="H4:H5"/>
    <mergeCell ref="A4:A5"/>
    <mergeCell ref="B4:B5"/>
    <mergeCell ref="E4:F5"/>
    <mergeCell ref="G4:G5"/>
    <mergeCell ref="C4:C5"/>
    <mergeCell ref="J4:J5"/>
    <mergeCell ref="CC4:CD4"/>
    <mergeCell ref="CE4:CE5"/>
    <mergeCell ref="CF4:CF5"/>
    <mergeCell ref="CG4:CG5"/>
    <mergeCell ref="CH4:CJ4"/>
    <mergeCell ref="CK4:CK5"/>
    <mergeCell ref="BE4:BE5"/>
    <mergeCell ref="BF4:BF5"/>
    <mergeCell ref="AN3:BL3"/>
    <mergeCell ref="AN4:AP4"/>
    <mergeCell ref="AQ4:AQ5"/>
    <mergeCell ref="AR4:AR5"/>
    <mergeCell ref="AS4:AV4"/>
    <mergeCell ref="AW4:AX4"/>
    <mergeCell ref="AY4:AZ4"/>
    <mergeCell ref="BA4:BB4"/>
    <mergeCell ref="BC4:BD4"/>
    <mergeCell ref="BG4:BG5"/>
    <mergeCell ref="BH4:BJ4"/>
    <mergeCell ref="BK4:BK5"/>
    <mergeCell ref="BL4:BL5"/>
    <mergeCell ref="EG4:EG5"/>
    <mergeCell ref="EQ4:EQ5"/>
    <mergeCell ref="DN3:EL3"/>
    <mergeCell ref="DN4:DP4"/>
    <mergeCell ref="DQ4:DQ5"/>
    <mergeCell ref="DR4:DR5"/>
    <mergeCell ref="DW4:DX4"/>
    <mergeCell ref="DY4:DZ4"/>
    <mergeCell ref="EA4:EB4"/>
    <mergeCell ref="EC4:ED4"/>
    <mergeCell ref="EE4:EE5"/>
    <mergeCell ref="EF4:EF5"/>
    <mergeCell ref="EH4:EJ4"/>
    <mergeCell ref="EK4:EK5"/>
    <mergeCell ref="EL4:EL5"/>
    <mergeCell ref="DS4:DV4"/>
    <mergeCell ref="FK4:FK5"/>
    <mergeCell ref="EN3:FL3"/>
    <mergeCell ref="EN4:EP4"/>
    <mergeCell ref="ER4:ER5"/>
    <mergeCell ref="ES4:EV4"/>
    <mergeCell ref="EW4:EX4"/>
    <mergeCell ref="EY4:EZ4"/>
    <mergeCell ref="FA4:FB4"/>
    <mergeCell ref="FC4:FD4"/>
    <mergeCell ref="FE4:FE5"/>
    <mergeCell ref="FF4:FF5"/>
    <mergeCell ref="FG4:FG5"/>
    <mergeCell ref="FH4:FJ4"/>
    <mergeCell ref="FL4:FL5"/>
    <mergeCell ref="HC4:HD4"/>
    <mergeCell ref="HE4:HE5"/>
    <mergeCell ref="HF4:HF5"/>
    <mergeCell ref="HG4:HG5"/>
    <mergeCell ref="HH4:HJ4"/>
    <mergeCell ref="HK4:HK5"/>
    <mergeCell ref="FN3:GL3"/>
    <mergeCell ref="FN4:FP4"/>
    <mergeCell ref="FQ4:FQ5"/>
    <mergeCell ref="FR4:FR5"/>
    <mergeCell ref="FS4:FV4"/>
    <mergeCell ref="FW4:FX4"/>
    <mergeCell ref="FY4:FZ4"/>
    <mergeCell ref="GA4:GB4"/>
    <mergeCell ref="GC4:GD4"/>
    <mergeCell ref="GF4:GF5"/>
    <mergeCell ref="GG4:GG5"/>
    <mergeCell ref="GH4:GJ4"/>
    <mergeCell ref="GK4:GK5"/>
    <mergeCell ref="GL4:GL5"/>
    <mergeCell ref="GE4:GE5"/>
    <mergeCell ref="N3:AL3"/>
    <mergeCell ref="N4:P4"/>
    <mergeCell ref="Q4:Q5"/>
    <mergeCell ref="R4:R5"/>
    <mergeCell ref="S4:V4"/>
    <mergeCell ref="AG4:AG5"/>
    <mergeCell ref="AH4:AJ4"/>
    <mergeCell ref="AK4:AK5"/>
    <mergeCell ref="AL4:AL5"/>
    <mergeCell ref="Y4:Z4"/>
    <mergeCell ref="AA4:AB4"/>
    <mergeCell ref="AC4:AD4"/>
    <mergeCell ref="W4:X4"/>
    <mergeCell ref="AF4:AF5"/>
    <mergeCell ref="AE4:AE5"/>
    <mergeCell ref="CL4:CL5"/>
    <mergeCell ref="CN3:DL3"/>
    <mergeCell ref="CN4:CP4"/>
    <mergeCell ref="CQ4:CQ5"/>
    <mergeCell ref="CR4:CR5"/>
    <mergeCell ref="CS4:CV4"/>
    <mergeCell ref="CW4:CX4"/>
    <mergeCell ref="CY4:CZ4"/>
    <mergeCell ref="DA4:DB4"/>
    <mergeCell ref="DC4:DD4"/>
    <mergeCell ref="DE4:DE5"/>
    <mergeCell ref="DF4:DF5"/>
    <mergeCell ref="DH4:DJ4"/>
    <mergeCell ref="DK4:DK5"/>
    <mergeCell ref="DL4:DL5"/>
    <mergeCell ref="DG4:DG5"/>
    <mergeCell ref="BN3:CL3"/>
    <mergeCell ref="BN4:BP4"/>
    <mergeCell ref="BQ4:BQ5"/>
    <mergeCell ref="BR4:BR5"/>
    <mergeCell ref="BS4:BV4"/>
    <mergeCell ref="BW4:BX4"/>
    <mergeCell ref="BY4:BZ4"/>
    <mergeCell ref="CA4:CB4"/>
    <mergeCell ref="HL4:HL5"/>
    <mergeCell ref="HN3:IL3"/>
    <mergeCell ref="HN4:HP4"/>
    <mergeCell ref="HQ4:HQ5"/>
    <mergeCell ref="HR4:HR5"/>
    <mergeCell ref="HS4:HV4"/>
    <mergeCell ref="HW4:HX4"/>
    <mergeCell ref="HY4:HZ4"/>
    <mergeCell ref="IA4:IB4"/>
    <mergeCell ref="IC4:ID4"/>
    <mergeCell ref="IE4:IE5"/>
    <mergeCell ref="IF4:IF5"/>
    <mergeCell ref="IG4:IG5"/>
    <mergeCell ref="IH4:IJ4"/>
    <mergeCell ref="IK4:IK5"/>
    <mergeCell ref="IL4:IL5"/>
    <mergeCell ref="GN3:HL3"/>
    <mergeCell ref="GN4:GP4"/>
    <mergeCell ref="GQ4:GQ5"/>
    <mergeCell ref="GR4:GR5"/>
    <mergeCell ref="GS4:GV4"/>
    <mergeCell ref="GW4:GX4"/>
    <mergeCell ref="GY4:GZ4"/>
    <mergeCell ref="HA4:HB4"/>
    <mergeCell ref="IN3:JL3"/>
    <mergeCell ref="IN4:IP4"/>
    <mergeCell ref="IQ4:IQ5"/>
    <mergeCell ref="IR4:IR5"/>
    <mergeCell ref="IS4:IV4"/>
    <mergeCell ref="IW4:IX4"/>
    <mergeCell ref="IY4:IZ4"/>
    <mergeCell ref="JA4:JB4"/>
    <mergeCell ref="JC4:JD4"/>
    <mergeCell ref="JE4:JE5"/>
    <mergeCell ref="JF4:JF5"/>
    <mergeCell ref="JG4:JG5"/>
    <mergeCell ref="JH4:JJ4"/>
    <mergeCell ref="JK4:JK5"/>
    <mergeCell ref="JL4:JL5"/>
    <mergeCell ref="JN3:KL3"/>
    <mergeCell ref="JN4:JP4"/>
    <mergeCell ref="JQ4:JQ5"/>
    <mergeCell ref="JR4:JR5"/>
    <mergeCell ref="JS4:JV4"/>
    <mergeCell ref="JW4:JX4"/>
    <mergeCell ref="JY4:JZ4"/>
    <mergeCell ref="KA4:KB4"/>
    <mergeCell ref="KC4:KD4"/>
    <mergeCell ref="KE4:KE5"/>
    <mergeCell ref="KF4:KF5"/>
    <mergeCell ref="KG4:KG5"/>
    <mergeCell ref="KH4:KJ4"/>
    <mergeCell ref="KK4:KK5"/>
    <mergeCell ref="KL4:KL5"/>
    <mergeCell ref="KN3:LL3"/>
    <mergeCell ref="KN4:KP4"/>
    <mergeCell ref="KQ4:KQ5"/>
    <mergeCell ref="KR4:KR5"/>
    <mergeCell ref="KS4:KV4"/>
    <mergeCell ref="KW4:KX4"/>
    <mergeCell ref="KY4:KZ4"/>
    <mergeCell ref="LA4:LB4"/>
    <mergeCell ref="LC4:LD4"/>
    <mergeCell ref="LE4:LE5"/>
    <mergeCell ref="LF4:LF5"/>
    <mergeCell ref="LG4:LG5"/>
    <mergeCell ref="LH4:LJ4"/>
    <mergeCell ref="LK4:LK5"/>
    <mergeCell ref="LL4:LL5"/>
  </mergeCells>
  <phoneticPr fontId="24" type="noConversion"/>
  <pageMargins left="0.7" right="0.7" top="0.75" bottom="0.75" header="0.3" footer="0.3"/>
  <pageSetup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BF8518-E31B-4D92-8AEB-825BAB537763}">
          <x14:formula1>
            <xm:f>'PTKP &amp; TARIF'!$D$4:$D$11</xm:f>
          </x14:formula1>
          <xm:sqref>K7:K45</xm:sqref>
        </x14:dataValidation>
        <x14:dataValidation type="list" allowBlank="1" showInputMessage="1" showErrorMessage="1" xr:uid="{2B6090E0-B573-40A5-BADB-1EF35439B016}">
          <x14:formula1>
            <xm:f>'PTKP &amp; TARIF'!$H$3:$H$4</xm:f>
          </x14:formula1>
          <xm:sqref>M7:M45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281F-CE4A-40E7-BF5E-1F76D98F1022}">
  <sheetPr>
    <tabColor rgb="FFFF0000"/>
  </sheetPr>
  <dimension ref="A1:CT47"/>
  <sheetViews>
    <sheetView zoomScale="60" zoomScaleNormal="60" workbookViewId="0">
      <pane xSplit="11" ySplit="5" topLeftCell="L6" activePane="bottomRight" state="frozen"/>
      <selection pane="topRight" activeCell="N1" sqref="N1"/>
      <selection pane="bottomLeft" activeCell="A7" sqref="A7"/>
      <selection pane="bottomRight" activeCell="A2" sqref="A2"/>
    </sheetView>
  </sheetViews>
  <sheetFormatPr defaultColWidth="9.08984375" defaultRowHeight="14.5" x14ac:dyDescent="0.35"/>
  <cols>
    <col min="1" max="1" width="6" style="35" customWidth="1"/>
    <col min="2" max="2" width="12.08984375" style="35" hidden="1" customWidth="1"/>
    <col min="3" max="3" width="17.36328125" style="36" customWidth="1"/>
    <col min="4" max="4" width="8.54296875" style="37" customWidth="1"/>
    <col min="5" max="5" width="17.90625" style="38" bestFit="1" customWidth="1"/>
    <col min="6" max="6" width="4" style="35" customWidth="1"/>
    <col min="7" max="7" width="27" style="35" bestFit="1" customWidth="1"/>
    <col min="8" max="8" width="6.6328125" style="35" customWidth="1"/>
    <col min="9" max="9" width="30.6328125" style="35" customWidth="1"/>
    <col min="10" max="10" width="37.08984375" style="35" bestFit="1" customWidth="1"/>
    <col min="11" max="11" width="7.6328125" style="35" bestFit="1" customWidth="1"/>
    <col min="12" max="12" width="7.54296875" style="40" customWidth="1"/>
    <col min="13" max="14" width="9.54296875" style="35" hidden="1" customWidth="1"/>
    <col min="15" max="15" width="9.54296875" style="35" customWidth="1"/>
    <col min="16" max="16" width="14.90625" style="35" customWidth="1"/>
    <col min="17" max="17" width="8.54296875" style="35" customWidth="1"/>
    <col min="18" max="18" width="14.90625" style="35" customWidth="1"/>
    <col min="19" max="19" width="13" style="40" bestFit="1" customWidth="1"/>
    <col min="20" max="20" width="9.08984375" style="41" bestFit="1" customWidth="1"/>
    <col min="21" max="21" width="23.453125" style="35" bestFit="1" customWidth="1"/>
    <col min="22" max="22" width="2.453125" style="35" customWidth="1"/>
    <col min="23" max="23" width="13" style="35" bestFit="1" customWidth="1"/>
    <col min="24" max="24" width="9.08984375" style="35" customWidth="1"/>
    <col min="25" max="25" width="11.08984375" style="35" customWidth="1"/>
    <col min="26" max="26" width="13" style="35" bestFit="1" customWidth="1"/>
    <col min="27" max="27" width="9.08984375" style="35" customWidth="1"/>
    <col min="28" max="28" width="21.36328125" style="35" bestFit="1" customWidth="1"/>
    <col min="29" max="29" width="4.453125" style="35" customWidth="1"/>
    <col min="30" max="30" width="13.453125" style="35" bestFit="1" customWidth="1"/>
    <col min="31" max="31" width="9.08984375" style="35" customWidth="1"/>
    <col min="32" max="32" width="11.08984375" style="35" customWidth="1"/>
    <col min="33" max="33" width="13.36328125" style="35" bestFit="1" customWidth="1"/>
    <col min="34" max="34" width="9.08984375" style="35" customWidth="1"/>
    <col min="35" max="35" width="15.36328125" style="35" bestFit="1" customWidth="1"/>
    <col min="36" max="36" width="3.08984375" style="35" customWidth="1"/>
    <col min="37" max="37" width="12.36328125" style="35" bestFit="1" customWidth="1"/>
    <col min="38" max="38" width="9.08984375" style="35" customWidth="1"/>
    <col min="39" max="39" width="11.08984375" style="35" customWidth="1"/>
    <col min="40" max="40" width="12.08984375" style="35" customWidth="1"/>
    <col min="41" max="41" width="9.08984375" style="35" customWidth="1"/>
    <col min="42" max="42" width="11.08984375" style="35" customWidth="1"/>
    <col min="43" max="43" width="3.90625" style="35" customWidth="1"/>
    <col min="44" max="44" width="12.36328125" style="35" bestFit="1" customWidth="1"/>
    <col min="45" max="45" width="9.08984375" style="35" customWidth="1"/>
    <col min="46" max="46" width="11.08984375" style="35" customWidth="1"/>
    <col min="47" max="47" width="12.08984375" style="35" customWidth="1"/>
    <col min="48" max="48" width="9.08984375" style="35" customWidth="1"/>
    <col min="49" max="49" width="11.08984375" style="35" customWidth="1"/>
    <col min="50" max="50" width="2.90625" style="35" customWidth="1"/>
    <col min="51" max="51" width="12.36328125" style="35" bestFit="1" customWidth="1"/>
    <col min="52" max="52" width="9.08984375" style="35" customWidth="1"/>
    <col min="53" max="53" width="11.08984375" style="35" customWidth="1"/>
    <col min="54" max="54" width="12.08984375" style="35" customWidth="1"/>
    <col min="55" max="55" width="9.08984375" style="35" customWidth="1"/>
    <col min="56" max="56" width="11.08984375" style="35" customWidth="1"/>
    <col min="57" max="57" width="1.90625" style="35" customWidth="1"/>
    <col min="58" max="58" width="13" style="35" bestFit="1" customWidth="1"/>
    <col min="59" max="59" width="9.08984375" style="35" customWidth="1"/>
    <col min="60" max="60" width="11.08984375" style="35" customWidth="1"/>
    <col min="61" max="61" width="12.08984375" style="35" customWidth="1"/>
    <col min="62" max="62" width="9.08984375" style="35" customWidth="1"/>
    <col min="63" max="63" width="11.08984375" style="35" customWidth="1"/>
    <col min="64" max="64" width="3.08984375" style="35" customWidth="1"/>
    <col min="65" max="65" width="13" style="35" bestFit="1" customWidth="1"/>
    <col min="66" max="66" width="9.08984375" style="35" customWidth="1"/>
    <col min="67" max="67" width="11.08984375" style="35" customWidth="1"/>
    <col min="68" max="68" width="13" style="35" bestFit="1" customWidth="1"/>
    <col min="69" max="69" width="9.08984375" style="35" customWidth="1"/>
    <col min="70" max="70" width="11.08984375" style="35" customWidth="1"/>
    <col min="71" max="71" width="3.54296875" style="35" customWidth="1"/>
    <col min="72" max="72" width="13" style="35" bestFit="1" customWidth="1"/>
    <col min="73" max="73" width="9.08984375" style="35" customWidth="1"/>
    <col min="74" max="74" width="11.08984375" style="35" customWidth="1"/>
    <col min="75" max="75" width="12.08984375" style="35" customWidth="1"/>
    <col min="76" max="76" width="9.08984375" style="35" customWidth="1"/>
    <col min="77" max="77" width="11.08984375" style="35" customWidth="1"/>
    <col min="78" max="78" width="3.6328125" style="35" customWidth="1"/>
    <col min="79" max="79" width="13" style="35" bestFit="1" customWidth="1"/>
    <col min="80" max="80" width="9.08984375" style="35" customWidth="1"/>
    <col min="81" max="81" width="11.08984375" style="35" customWidth="1"/>
    <col min="82" max="82" width="13" style="35" bestFit="1" customWidth="1"/>
    <col min="83" max="83" width="9.08984375" style="35" customWidth="1"/>
    <col min="84" max="84" width="11.08984375" style="35" customWidth="1"/>
    <col min="85" max="85" width="4" style="35" customWidth="1"/>
    <col min="86" max="86" width="13" style="35" bestFit="1" customWidth="1"/>
    <col min="87" max="87" width="9.08984375" style="35" customWidth="1"/>
    <col min="88" max="88" width="11.08984375" style="35" customWidth="1"/>
    <col min="89" max="89" width="12.08984375" style="35" customWidth="1"/>
    <col min="90" max="90" width="9.08984375" style="35" customWidth="1"/>
    <col min="91" max="91" width="11.08984375" style="35" customWidth="1"/>
    <col min="92" max="92" width="6.453125" style="35" customWidth="1"/>
    <col min="93" max="93" width="11.08984375" style="35" hidden="1" customWidth="1"/>
    <col min="94" max="94" width="9.08984375" style="35" hidden="1" customWidth="1"/>
    <col min="95" max="95" width="11.08984375" style="35" hidden="1" customWidth="1"/>
    <col min="96" max="96" width="12.08984375" style="35" hidden="1" customWidth="1"/>
    <col min="97" max="97" width="9.08984375" style="35" hidden="1" customWidth="1"/>
    <col min="98" max="98" width="11.08984375" style="35" hidden="1" customWidth="1"/>
    <col min="99" max="16384" width="9.08984375" style="35"/>
  </cols>
  <sheetData>
    <row r="1" spans="1:98" customFormat="1" x14ac:dyDescent="0.35">
      <c r="A1" s="30" t="s">
        <v>226</v>
      </c>
      <c r="C1" s="31"/>
      <c r="D1" s="32"/>
      <c r="E1" s="33"/>
      <c r="L1" s="8"/>
      <c r="S1" s="8"/>
      <c r="T1" s="34"/>
    </row>
    <row r="2" spans="1:98" customFormat="1" x14ac:dyDescent="0.35">
      <c r="A2" s="65" t="s">
        <v>38</v>
      </c>
      <c r="C2" s="31"/>
      <c r="D2" s="32"/>
      <c r="E2" s="33"/>
      <c r="L2" s="8"/>
      <c r="S2" s="8"/>
      <c r="T2" s="34"/>
    </row>
    <row r="3" spans="1:98" customFormat="1" ht="15" thickBot="1" x14ac:dyDescent="0.4">
      <c r="A3" s="30" t="s">
        <v>55</v>
      </c>
      <c r="C3" s="31"/>
      <c r="D3" s="32"/>
      <c r="E3" s="33"/>
      <c r="L3" s="8"/>
      <c r="S3" s="8"/>
      <c r="T3" s="34"/>
      <c r="U3" s="284"/>
    </row>
    <row r="4" spans="1:98" customFormat="1" ht="26.25" customHeight="1" thickTop="1" x14ac:dyDescent="0.35">
      <c r="A4" s="339" t="s">
        <v>0</v>
      </c>
      <c r="B4" s="337" t="s">
        <v>24</v>
      </c>
      <c r="C4" s="341" t="s">
        <v>25</v>
      </c>
      <c r="D4" s="337" t="s">
        <v>27</v>
      </c>
      <c r="E4" s="343" t="s">
        <v>1</v>
      </c>
      <c r="F4" s="343"/>
      <c r="G4" s="337" t="s">
        <v>2</v>
      </c>
      <c r="H4" s="337" t="s">
        <v>37</v>
      </c>
      <c r="I4" s="337" t="s">
        <v>26</v>
      </c>
      <c r="J4" s="337" t="s">
        <v>3</v>
      </c>
      <c r="K4" s="337" t="s">
        <v>4</v>
      </c>
      <c r="L4" s="345" t="s">
        <v>42</v>
      </c>
      <c r="M4" s="337" t="s">
        <v>5</v>
      </c>
      <c r="N4" s="337" t="s">
        <v>6</v>
      </c>
      <c r="O4" s="347" t="s">
        <v>90</v>
      </c>
      <c r="P4" s="334" t="s">
        <v>95</v>
      </c>
      <c r="Q4" s="335"/>
      <c r="R4" s="335"/>
      <c r="S4" s="335"/>
      <c r="T4" s="335"/>
      <c r="U4" s="336"/>
      <c r="W4" s="334" t="s">
        <v>99</v>
      </c>
      <c r="X4" s="335"/>
      <c r="Y4" s="335"/>
      <c r="Z4" s="335"/>
      <c r="AA4" s="335"/>
      <c r="AB4" s="336"/>
      <c r="AD4" s="334" t="s">
        <v>100</v>
      </c>
      <c r="AE4" s="335"/>
      <c r="AF4" s="335"/>
      <c r="AG4" s="335"/>
      <c r="AH4" s="335"/>
      <c r="AI4" s="336"/>
      <c r="AK4" s="334" t="s">
        <v>101</v>
      </c>
      <c r="AL4" s="335"/>
      <c r="AM4" s="335"/>
      <c r="AN4" s="335"/>
      <c r="AO4" s="335"/>
      <c r="AP4" s="336"/>
      <c r="AR4" s="334" t="s">
        <v>102</v>
      </c>
      <c r="AS4" s="335"/>
      <c r="AT4" s="335"/>
      <c r="AU4" s="335"/>
      <c r="AV4" s="335"/>
      <c r="AW4" s="336"/>
      <c r="AY4" s="334" t="s">
        <v>103</v>
      </c>
      <c r="AZ4" s="335"/>
      <c r="BA4" s="335"/>
      <c r="BB4" s="335"/>
      <c r="BC4" s="335"/>
      <c r="BD4" s="336"/>
      <c r="BF4" s="334" t="s">
        <v>104</v>
      </c>
      <c r="BG4" s="335"/>
      <c r="BH4" s="335"/>
      <c r="BI4" s="335"/>
      <c r="BJ4" s="335"/>
      <c r="BK4" s="336"/>
      <c r="BM4" s="334" t="s">
        <v>105</v>
      </c>
      <c r="BN4" s="335"/>
      <c r="BO4" s="335"/>
      <c r="BP4" s="335"/>
      <c r="BQ4" s="335"/>
      <c r="BR4" s="336"/>
      <c r="BT4" s="334" t="s">
        <v>106</v>
      </c>
      <c r="BU4" s="335"/>
      <c r="BV4" s="335"/>
      <c r="BW4" s="335"/>
      <c r="BX4" s="335"/>
      <c r="BY4" s="336"/>
      <c r="CA4" s="334" t="s">
        <v>107</v>
      </c>
      <c r="CB4" s="335"/>
      <c r="CC4" s="335"/>
      <c r="CD4" s="335"/>
      <c r="CE4" s="335"/>
      <c r="CF4" s="336"/>
      <c r="CH4" s="334" t="s">
        <v>108</v>
      </c>
      <c r="CI4" s="335"/>
      <c r="CJ4" s="335"/>
      <c r="CK4" s="335"/>
      <c r="CL4" s="335"/>
      <c r="CM4" s="336"/>
      <c r="CO4" s="334" t="s">
        <v>109</v>
      </c>
      <c r="CP4" s="335"/>
      <c r="CQ4" s="335"/>
      <c r="CR4" s="335"/>
      <c r="CS4" s="335"/>
      <c r="CT4" s="336"/>
    </row>
    <row r="5" spans="1:98" s="32" customFormat="1" ht="33.75" customHeight="1" thickBot="1" x14ac:dyDescent="0.4">
      <c r="A5" s="340"/>
      <c r="B5" s="338"/>
      <c r="C5" s="342"/>
      <c r="D5" s="338"/>
      <c r="E5" s="344"/>
      <c r="F5" s="344"/>
      <c r="G5" s="338"/>
      <c r="H5" s="338"/>
      <c r="I5" s="338"/>
      <c r="J5" s="338"/>
      <c r="K5" s="338"/>
      <c r="L5" s="346"/>
      <c r="M5" s="338"/>
      <c r="N5" s="338"/>
      <c r="O5" s="348"/>
      <c r="P5" s="116" t="s">
        <v>93</v>
      </c>
      <c r="Q5" s="93" t="s">
        <v>41</v>
      </c>
      <c r="R5" s="93" t="s">
        <v>90</v>
      </c>
      <c r="S5" s="94" t="s">
        <v>94</v>
      </c>
      <c r="T5" s="95" t="s">
        <v>41</v>
      </c>
      <c r="U5" s="96" t="s">
        <v>40</v>
      </c>
      <c r="W5" s="116" t="s">
        <v>93</v>
      </c>
      <c r="X5" s="93" t="s">
        <v>41</v>
      </c>
      <c r="Y5" s="93" t="s">
        <v>90</v>
      </c>
      <c r="Z5" s="94" t="s">
        <v>94</v>
      </c>
      <c r="AA5" s="95" t="s">
        <v>41</v>
      </c>
      <c r="AB5" s="96" t="s">
        <v>40</v>
      </c>
      <c r="AD5" s="116" t="s">
        <v>93</v>
      </c>
      <c r="AE5" s="93" t="s">
        <v>41</v>
      </c>
      <c r="AF5" s="93" t="s">
        <v>90</v>
      </c>
      <c r="AG5" s="94" t="s">
        <v>94</v>
      </c>
      <c r="AH5" s="95" t="s">
        <v>41</v>
      </c>
      <c r="AI5" s="96" t="s">
        <v>40</v>
      </c>
      <c r="AK5" s="116" t="s">
        <v>93</v>
      </c>
      <c r="AL5" s="93" t="s">
        <v>41</v>
      </c>
      <c r="AM5" s="93" t="s">
        <v>90</v>
      </c>
      <c r="AN5" s="94" t="s">
        <v>94</v>
      </c>
      <c r="AO5" s="95" t="s">
        <v>41</v>
      </c>
      <c r="AP5" s="96" t="s">
        <v>40</v>
      </c>
      <c r="AR5" s="116" t="s">
        <v>93</v>
      </c>
      <c r="AS5" s="93" t="s">
        <v>41</v>
      </c>
      <c r="AT5" s="93" t="s">
        <v>90</v>
      </c>
      <c r="AU5" s="94" t="s">
        <v>94</v>
      </c>
      <c r="AV5" s="95" t="s">
        <v>41</v>
      </c>
      <c r="AW5" s="96" t="s">
        <v>40</v>
      </c>
      <c r="AY5" s="116" t="s">
        <v>93</v>
      </c>
      <c r="AZ5" s="93" t="s">
        <v>41</v>
      </c>
      <c r="BA5" s="93" t="s">
        <v>90</v>
      </c>
      <c r="BB5" s="94" t="s">
        <v>94</v>
      </c>
      <c r="BC5" s="95" t="s">
        <v>41</v>
      </c>
      <c r="BD5" s="96" t="s">
        <v>40</v>
      </c>
      <c r="BF5" s="116" t="s">
        <v>93</v>
      </c>
      <c r="BG5" s="93" t="s">
        <v>41</v>
      </c>
      <c r="BH5" s="93" t="s">
        <v>90</v>
      </c>
      <c r="BI5" s="94" t="s">
        <v>94</v>
      </c>
      <c r="BJ5" s="95" t="s">
        <v>41</v>
      </c>
      <c r="BK5" s="96" t="s">
        <v>40</v>
      </c>
      <c r="BM5" s="116" t="s">
        <v>93</v>
      </c>
      <c r="BN5" s="93" t="s">
        <v>41</v>
      </c>
      <c r="BO5" s="93" t="s">
        <v>90</v>
      </c>
      <c r="BP5" s="94" t="s">
        <v>94</v>
      </c>
      <c r="BQ5" s="95" t="s">
        <v>41</v>
      </c>
      <c r="BR5" s="96" t="s">
        <v>40</v>
      </c>
      <c r="BT5" s="116" t="s">
        <v>93</v>
      </c>
      <c r="BU5" s="93" t="s">
        <v>41</v>
      </c>
      <c r="BV5" s="93" t="s">
        <v>90</v>
      </c>
      <c r="BW5" s="94" t="s">
        <v>94</v>
      </c>
      <c r="BX5" s="95" t="s">
        <v>41</v>
      </c>
      <c r="BY5" s="96" t="s">
        <v>40</v>
      </c>
      <c r="CA5" s="116" t="s">
        <v>93</v>
      </c>
      <c r="CB5" s="93" t="s">
        <v>41</v>
      </c>
      <c r="CC5" s="93" t="s">
        <v>90</v>
      </c>
      <c r="CD5" s="94" t="s">
        <v>94</v>
      </c>
      <c r="CE5" s="95" t="s">
        <v>41</v>
      </c>
      <c r="CF5" s="96" t="s">
        <v>40</v>
      </c>
      <c r="CH5" s="116" t="s">
        <v>93</v>
      </c>
      <c r="CI5" s="93" t="s">
        <v>41</v>
      </c>
      <c r="CJ5" s="93" t="s">
        <v>90</v>
      </c>
      <c r="CK5" s="94" t="s">
        <v>94</v>
      </c>
      <c r="CL5" s="95" t="s">
        <v>41</v>
      </c>
      <c r="CM5" s="96" t="s">
        <v>40</v>
      </c>
      <c r="CO5" s="116" t="s">
        <v>93</v>
      </c>
      <c r="CP5" s="93" t="s">
        <v>41</v>
      </c>
      <c r="CQ5" s="93" t="s">
        <v>90</v>
      </c>
      <c r="CR5" s="94" t="s">
        <v>94</v>
      </c>
      <c r="CS5" s="95" t="s">
        <v>41</v>
      </c>
      <c r="CT5" s="96" t="s">
        <v>40</v>
      </c>
    </row>
    <row r="6" spans="1:98" customFormat="1" ht="15" thickTop="1" x14ac:dyDescent="0.35">
      <c r="A6" s="51" t="s">
        <v>12</v>
      </c>
      <c r="B6" s="43"/>
      <c r="C6" s="44"/>
      <c r="D6" s="45"/>
      <c r="E6" s="46"/>
      <c r="F6" s="46"/>
      <c r="G6" s="45"/>
      <c r="H6" s="45"/>
      <c r="I6" s="45"/>
      <c r="J6" s="45"/>
      <c r="K6" s="45"/>
      <c r="L6" s="48"/>
      <c r="M6" s="45"/>
      <c r="N6" s="45"/>
      <c r="O6" s="114"/>
      <c r="P6" s="117"/>
      <c r="Q6" s="48"/>
      <c r="R6" s="48"/>
      <c r="S6" s="48"/>
      <c r="T6" s="49"/>
      <c r="U6" s="97"/>
      <c r="W6" s="117"/>
      <c r="X6" s="48"/>
      <c r="Y6" s="48"/>
      <c r="Z6" s="48"/>
      <c r="AA6" s="49"/>
      <c r="AB6" s="97"/>
      <c r="AD6" s="117"/>
      <c r="AE6" s="48"/>
      <c r="AF6" s="48"/>
      <c r="AG6" s="48"/>
      <c r="AH6" s="49"/>
      <c r="AI6" s="97"/>
      <c r="AK6" s="117"/>
      <c r="AL6" s="48"/>
      <c r="AM6" s="48"/>
      <c r="AN6" s="48"/>
      <c r="AO6" s="49"/>
      <c r="AP6" s="97"/>
      <c r="AR6" s="117"/>
      <c r="AS6" s="48"/>
      <c r="AT6" s="48"/>
      <c r="AU6" s="48"/>
      <c r="AV6" s="49"/>
      <c r="AW6" s="97"/>
      <c r="AY6" s="117"/>
      <c r="AZ6" s="48"/>
      <c r="BA6" s="48"/>
      <c r="BB6" s="48"/>
      <c r="BC6" s="49"/>
      <c r="BD6" s="97"/>
      <c r="BF6" s="117"/>
      <c r="BG6" s="48"/>
      <c r="BH6" s="48"/>
      <c r="BI6" s="48"/>
      <c r="BJ6" s="49"/>
      <c r="BK6" s="97"/>
      <c r="BM6" s="117"/>
      <c r="BN6" s="48"/>
      <c r="BO6" s="48"/>
      <c r="BP6" s="48"/>
      <c r="BQ6" s="49"/>
      <c r="BR6" s="97"/>
      <c r="BT6" s="117"/>
      <c r="BU6" s="48"/>
      <c r="BV6" s="48"/>
      <c r="BW6" s="48"/>
      <c r="BX6" s="49"/>
      <c r="BY6" s="97"/>
      <c r="CA6" s="117"/>
      <c r="CB6" s="48"/>
      <c r="CC6" s="48"/>
      <c r="CD6" s="48"/>
      <c r="CE6" s="49"/>
      <c r="CF6" s="97"/>
      <c r="CH6" s="117"/>
      <c r="CI6" s="48"/>
      <c r="CJ6" s="48"/>
      <c r="CK6" s="48"/>
      <c r="CL6" s="49"/>
      <c r="CM6" s="97"/>
      <c r="CO6" s="117"/>
      <c r="CP6" s="48"/>
      <c r="CQ6" s="48"/>
      <c r="CR6" s="48"/>
      <c r="CS6" s="49"/>
      <c r="CT6" s="97"/>
    </row>
    <row r="7" spans="1:98" customFormat="1" ht="15" customHeight="1" x14ac:dyDescent="0.35">
      <c r="A7" s="52">
        <v>1</v>
      </c>
      <c r="B7" s="53"/>
      <c r="C7" s="73"/>
      <c r="D7" s="55"/>
      <c r="E7" s="281"/>
      <c r="F7" s="272"/>
      <c r="G7" s="277"/>
      <c r="H7" s="272"/>
      <c r="I7" s="272"/>
      <c r="J7" s="54"/>
      <c r="K7" s="272">
        <f>'Data Gaji'!K7</f>
        <v>0</v>
      </c>
      <c r="L7" s="67" t="str">
        <f>IF(ISNA(VLOOKUP(K7,'PTKP &amp; TARIF'!$D$4:$E$11,2,0)),"",VLOOKUP(K7,'PTKP &amp; TARIF'!$D$4:$E$11,2,0))</f>
        <v/>
      </c>
      <c r="M7" s="9">
        <v>26</v>
      </c>
      <c r="N7" s="9">
        <v>26</v>
      </c>
      <c r="O7" s="115" t="s">
        <v>92</v>
      </c>
      <c r="P7" s="118">
        <f>'Data Gaji'!AL7</f>
        <v>0</v>
      </c>
      <c r="Q7" s="66">
        <f>IF($L7="TER A",VLOOKUP(P7,TER!$A$5:$D$48,4,TRUE),IF($L7="TER B",VLOOKUP(P7,TER!$F$5:$I$44,4,TRUE),IF($L7="TER C",VLOOKUP(P7,TER!$K$5:$N$45,4,TRUE),0)))</f>
        <v>0</v>
      </c>
      <c r="R7" s="61">
        <f>IF($O7="Ya",P7*Q7,0)</f>
        <v>0</v>
      </c>
      <c r="S7" s="92">
        <f>P7+R7</f>
        <v>0</v>
      </c>
      <c r="T7" s="66">
        <f>IF($L7="TER A",VLOOKUP(P7,TER!$A$5:$D$48,4,TRUE),IF($L7="TER B",VLOOKUP(P7,TER!$F$5:$I$44,4,TRUE),IF($L7="TER C",VLOOKUP(P7,TER!$K$5:$N$45,4,TRUE),0)))</f>
        <v>0</v>
      </c>
      <c r="U7" s="98">
        <f>ROUND(S7*T7,2)</f>
        <v>0</v>
      </c>
      <c r="W7" s="118">
        <f>'Data Gaji'!BL7</f>
        <v>0</v>
      </c>
      <c r="X7" s="66">
        <f>IF($L7="TER A",VLOOKUP(W7,TER!$A$5:$D$48,4,TRUE),IF($L7="TER B",VLOOKUP(W7,TER!$F$5:$I$44,4,TRUE),IF($L7="TER C",VLOOKUP(W7,TER!$K$5:$N$45,4,TRUE),0)))</f>
        <v>0</v>
      </c>
      <c r="Y7" s="61">
        <f>IF($O7="Ya",W7*X7,0)</f>
        <v>0</v>
      </c>
      <c r="Z7" s="92">
        <f>W7+Y7</f>
        <v>0</v>
      </c>
      <c r="AA7" s="66">
        <f>IF($L7="TER A",VLOOKUP(W7,TER!$A$5:$D$48,4,TRUE),IF($L7="TER B",VLOOKUP(W7,TER!$F$5:$I$44,4,TRUE),IF($L7="TER C",VLOOKUP(W7,TER!$K$5:$N$45,4,TRUE),0)))</f>
        <v>0</v>
      </c>
      <c r="AB7" s="98">
        <f>ROUND(Z7*AA7,0)</f>
        <v>0</v>
      </c>
      <c r="AD7" s="118">
        <f>'Data Gaji'!CL7</f>
        <v>0</v>
      </c>
      <c r="AE7" s="66">
        <f>IF($L7="TER A",VLOOKUP(AD7,TER!$A$5:$D$48,4,TRUE),IF($L7="TER B",VLOOKUP(AD7,TER!$F$5:$I$44,4,TRUE),IF($L7="TER C",VLOOKUP(AD7,TER!$K$5:$N$45,4,TRUE),0)))</f>
        <v>0</v>
      </c>
      <c r="AF7" s="61">
        <f>IF($O7="Ya",AD7*AE7,0)</f>
        <v>0</v>
      </c>
      <c r="AG7" s="92">
        <f>AD7+AF7</f>
        <v>0</v>
      </c>
      <c r="AH7" s="66">
        <f>IF($L7="TER A",VLOOKUP(AD7,TER!$A$5:$D$48,4,TRUE),IF($L7="TER B",VLOOKUP(AD7,TER!$F$5:$I$44,4,TRUE),IF($L7="TER C",VLOOKUP(AD7,TER!$K$5:$N$45,4,TRUE),0)))</f>
        <v>0</v>
      </c>
      <c r="AI7" s="98">
        <f>ROUND(AG7*AH7,0)</f>
        <v>0</v>
      </c>
      <c r="AK7" s="118">
        <f>'Data Gaji'!DL7</f>
        <v>0</v>
      </c>
      <c r="AL7" s="66">
        <f>IF($L7="TER A",VLOOKUP(AK7,TER!$A$5:$D$48,4,TRUE),IF($L7="TER B",VLOOKUP(AK7,TER!$F$5:$I$44,4,TRUE),IF($L7="TER C",VLOOKUP(AK7,TER!$K$5:$N$45,4,TRUE),0)))</f>
        <v>0</v>
      </c>
      <c r="AM7" s="61">
        <f>IF($O7="Ya",AK7*AL7,0)</f>
        <v>0</v>
      </c>
      <c r="AN7" s="92">
        <f>AK7+AM7</f>
        <v>0</v>
      </c>
      <c r="AO7" s="66">
        <f>IF($L7="TER A",VLOOKUP(AK7,TER!$A$5:$D$48,4,TRUE),IF($L7="TER B",VLOOKUP(AK7,TER!$F$5:$I$44,4,TRUE),IF($L7="TER C",VLOOKUP(AK7,TER!$K$5:$N$45,4,TRUE),0)))</f>
        <v>0</v>
      </c>
      <c r="AP7" s="98">
        <f>ROUND(AN7*AO7,0)</f>
        <v>0</v>
      </c>
      <c r="AR7" s="118">
        <f>'Data Gaji'!EL7</f>
        <v>0</v>
      </c>
      <c r="AS7" s="66">
        <f>IF($L7="TER A",VLOOKUP(AR7,TER!$A$5:$D$48,4,TRUE),IF($L7="TER B",VLOOKUP(AR7,TER!$F$5:$I$44,4,TRUE),IF($L7="TER C",VLOOKUP(AR7,TER!$K$5:$N$45,4,TRUE),0)))</f>
        <v>0</v>
      </c>
      <c r="AT7" s="61">
        <f>IF($O7="Ya",AR7*AS7,0)</f>
        <v>0</v>
      </c>
      <c r="AU7" s="92">
        <f>AR7+AT7</f>
        <v>0</v>
      </c>
      <c r="AV7" s="66">
        <f>IF($L7="TER A",VLOOKUP(AR7,TER!$A$5:$D$48,4,TRUE),IF($L7="TER B",VLOOKUP(AR7,TER!$F$5:$I$44,4,TRUE),IF($L7="TER C",VLOOKUP(AR7,TER!$K$5:$N$45,4,TRUE),0)))</f>
        <v>0</v>
      </c>
      <c r="AW7" s="98">
        <f>ROUND(AU7*AV7,0)</f>
        <v>0</v>
      </c>
      <c r="AY7" s="118">
        <f>'Data Gaji'!FL7</f>
        <v>0</v>
      </c>
      <c r="AZ7" s="66">
        <f>IF($L7="TER A",VLOOKUP(AY7,TER!$A$5:$D$48,4,TRUE),IF($L7="TER B",VLOOKUP(AY7,TER!$F$5:$I$44,4,TRUE),IF($L7="TER C",VLOOKUP(AY7,TER!$K$5:$N$45,4,TRUE),0)))</f>
        <v>0</v>
      </c>
      <c r="BA7" s="61">
        <f>IF($O7="Ya",AY7*AZ7,0)</f>
        <v>0</v>
      </c>
      <c r="BB7" s="92">
        <f>AY7+BA7</f>
        <v>0</v>
      </c>
      <c r="BC7" s="66">
        <f>IF($L7="TER A",VLOOKUP(AY7,TER!$A$5:$D$48,4,TRUE),IF($L7="TER B",VLOOKUP(AY7,TER!$F$5:$I$44,4,TRUE),IF($L7="TER C",VLOOKUP(AY7,TER!$K$5:$N$45,4,TRUE),0)))</f>
        <v>0</v>
      </c>
      <c r="BD7" s="98">
        <f>ROUND(BB7*BC7,0)</f>
        <v>0</v>
      </c>
      <c r="BF7" s="118">
        <f>'Data Gaji'!GL7</f>
        <v>0</v>
      </c>
      <c r="BG7" s="66">
        <f>IF($L7="TER A",VLOOKUP(BF7,TER!$A$5:$D$48,4,TRUE),IF($L7="TER B",VLOOKUP(BF7,TER!$F$5:$I$44,4,TRUE),IF($L7="TER C",VLOOKUP(BF7,TER!$K$5:$N$45,4,TRUE),0)))</f>
        <v>0</v>
      </c>
      <c r="BH7" s="61">
        <f>IF($O7="Ya",BF7*BG7,0)</f>
        <v>0</v>
      </c>
      <c r="BI7" s="92">
        <f>BF7+BH7</f>
        <v>0</v>
      </c>
      <c r="BJ7" s="66">
        <f>IF($L7="TER A",VLOOKUP(BF7,TER!$A$5:$D$48,4,TRUE),IF($L7="TER B",VLOOKUP(BF7,TER!$F$5:$I$44,4,TRUE),IF($L7="TER C",VLOOKUP(BF7,TER!$K$5:$N$45,4,TRUE),0)))</f>
        <v>0</v>
      </c>
      <c r="BK7" s="98">
        <f>ROUND(BI7*BJ7,0)</f>
        <v>0</v>
      </c>
      <c r="BM7" s="118">
        <f>'Data Gaji'!HL7</f>
        <v>0</v>
      </c>
      <c r="BN7" s="66">
        <f>IF($L7="TER A",VLOOKUP(BM7,TER!$A$5:$D$48,4,TRUE),IF($L7="TER B",VLOOKUP(BM7,TER!$F$5:$I$44,4,TRUE),IF($L7="TER C",VLOOKUP(BM7,TER!$K$5:$N$45,4,TRUE),0)))</f>
        <v>0</v>
      </c>
      <c r="BO7" s="61">
        <f>IF($O7="Ya",BM7*BN7,0)</f>
        <v>0</v>
      </c>
      <c r="BP7" s="92">
        <f>BM7+BO7</f>
        <v>0</v>
      </c>
      <c r="BQ7" s="66">
        <f>IF($L7="TER A",VLOOKUP(BM7,TER!$A$5:$D$48,4,TRUE),IF($L7="TER B",VLOOKUP(BM7,TER!$F$5:$I$44,4,TRUE),IF($L7="TER C",VLOOKUP(BM7,TER!$K$5:$N$45,4,TRUE),0)))</f>
        <v>0</v>
      </c>
      <c r="BR7" s="98">
        <f>ROUND(BP7*BQ7,0)</f>
        <v>0</v>
      </c>
      <c r="BT7" s="118">
        <f>'Data Gaji'!IL7</f>
        <v>0</v>
      </c>
      <c r="BU7" s="66">
        <f>IF($L7="TER A",VLOOKUP(BT7,TER!$A$5:$D$48,4,TRUE),IF($L7="TER B",VLOOKUP(BT7,TER!$F$5:$I$44,4,TRUE),IF($L7="TER C",VLOOKUP(BT7,TER!$K$5:$N$45,4,TRUE),0)))</f>
        <v>0</v>
      </c>
      <c r="BV7" s="61">
        <f>IF($O7="Ya",BT7*BU7,0)</f>
        <v>0</v>
      </c>
      <c r="BW7" s="92">
        <f>BT7+BV7</f>
        <v>0</v>
      </c>
      <c r="BX7" s="66">
        <f>IF($L7="TER A",VLOOKUP(BT7,TER!$A$5:$D$48,4,TRUE),IF($L7="TER B",VLOOKUP(BT7,TER!$F$5:$I$44,4,TRUE),IF($L7="TER C",VLOOKUP(BT7,TER!$K$5:$N$45,4,TRUE),0)))</f>
        <v>0</v>
      </c>
      <c r="BY7" s="98">
        <f>ROUND(BW7*BX7,0)</f>
        <v>0</v>
      </c>
      <c r="CA7" s="118">
        <f>'Data Gaji'!JL7</f>
        <v>0</v>
      </c>
      <c r="CB7" s="66">
        <f>IF($L7="TER A",VLOOKUP(CA7,TER!$A$5:$D$48,4,TRUE),IF($L7="TER B",VLOOKUP(CA7,TER!$F$5:$I$44,4,TRUE),IF($L7="TER C",VLOOKUP(CA7,TER!$K$5:$N$45,4,TRUE),0)))</f>
        <v>0</v>
      </c>
      <c r="CC7" s="61">
        <f>IF($O7="Ya",CA7*CB7,0)</f>
        <v>0</v>
      </c>
      <c r="CD7" s="92">
        <f>CA7+CC7</f>
        <v>0</v>
      </c>
      <c r="CE7" s="66">
        <f>IF($L7="TER A",VLOOKUP(CA7,TER!$A$5:$D$48,4,TRUE),IF($L7="TER B",VLOOKUP(CA7,TER!$F$5:$I$44,4,TRUE),IF($L7="TER C",VLOOKUP(CA7,TER!$K$5:$N$45,4,TRUE),0)))</f>
        <v>0</v>
      </c>
      <c r="CF7" s="98">
        <f>ROUND(CD7*CE7,0)</f>
        <v>0</v>
      </c>
      <c r="CH7" s="118">
        <f>'Data Gaji'!KL7</f>
        <v>0</v>
      </c>
      <c r="CI7" s="66">
        <f>IF($L7="TER A",VLOOKUP(CH7,TER!$A$5:$D$48,4,TRUE),IF($L7="TER B",VLOOKUP(CH7,TER!$F$5:$I$44,4,TRUE),IF($L7="TER C",VLOOKUP(CH7,TER!$K$5:$N$45,4,TRUE),0)))</f>
        <v>0</v>
      </c>
      <c r="CJ7" s="61">
        <f>IF($O7="Ya",CH7*CI7,0)</f>
        <v>0</v>
      </c>
      <c r="CK7" s="92">
        <f>CH7+CJ7</f>
        <v>0</v>
      </c>
      <c r="CL7" s="66">
        <f>IF($L7="TER A",VLOOKUP(CH7,TER!$A$5:$D$48,4,TRUE),IF($L7="TER B",VLOOKUP(CH7,TER!$F$5:$I$44,4,TRUE),IF($L7="TER C",VLOOKUP(CH7,TER!$K$5:$N$45,4,TRUE),0)))</f>
        <v>0</v>
      </c>
      <c r="CM7" s="98">
        <f>ROUND(CK7*CL7,0)</f>
        <v>0</v>
      </c>
      <c r="CO7" s="118">
        <f>'Data Gaji'!LL7</f>
        <v>0</v>
      </c>
      <c r="CP7" s="66">
        <f>IF($L7="TER A",VLOOKUP(CO7,TER!$A$5:$D$48,4,TRUE),IF($L7="TER B",VLOOKUP(CO7,TER!$F$5:$I$44,4,TRUE),IF($L7="TER C",VLOOKUP(CO7,TER!$K$5:$N$45,4,TRUE),0)))</f>
        <v>0</v>
      </c>
      <c r="CQ7" s="61">
        <f>IF($O7="Ya",CO7*CP7,0)</f>
        <v>0</v>
      </c>
      <c r="CR7" s="92">
        <f>CO7+CQ7</f>
        <v>0</v>
      </c>
      <c r="CS7" s="66">
        <f>IF($L7="TER A",VLOOKUP(CO7,TER!$A$5:$D$48,4,TRUE),IF($L7="TER B",VLOOKUP(CO7,TER!$F$5:$I$44,4,TRUE),IF($L7="TER C",VLOOKUP(CO7,TER!$K$5:$N$45,4,TRUE),0)))</f>
        <v>0</v>
      </c>
      <c r="CT7" s="98">
        <f>CR7*CS7</f>
        <v>0</v>
      </c>
    </row>
    <row r="8" spans="1:98" customFormat="1" ht="15" customHeight="1" x14ac:dyDescent="0.35">
      <c r="A8" s="52">
        <f t="shared" ref="A8:A45" si="0">A7+1</f>
        <v>2</v>
      </c>
      <c r="B8" s="53"/>
      <c r="C8" s="73"/>
      <c r="D8" s="55"/>
      <c r="E8" s="281"/>
      <c r="F8" s="272"/>
      <c r="G8" s="277"/>
      <c r="H8" s="272"/>
      <c r="I8" s="272"/>
      <c r="J8" s="54"/>
      <c r="K8" s="272">
        <f>'Data Gaji'!K8</f>
        <v>0</v>
      </c>
      <c r="L8" s="67" t="str">
        <f>IF(ISNA(VLOOKUP(K8,'PTKP &amp; TARIF'!$D$4:$E$11,2,0)),"",VLOOKUP(K8,'PTKP &amp; TARIF'!$D$4:$E$11,2,0))</f>
        <v/>
      </c>
      <c r="M8" s="9">
        <v>26</v>
      </c>
      <c r="N8" s="9">
        <v>26</v>
      </c>
      <c r="O8" s="115" t="s">
        <v>92</v>
      </c>
      <c r="P8" s="118">
        <f>'Data Gaji'!AL8</f>
        <v>0</v>
      </c>
      <c r="Q8" s="66">
        <f>IF($L8="TER A",VLOOKUP(P8,TER!$A$5:$D$48,4,TRUE),IF($L8="TER B",VLOOKUP(P8,TER!$F$5:$I$44,4,TRUE),IF($L8="TER C",VLOOKUP(P8,TER!$K$5:$N$45,4,TRUE),0)))</f>
        <v>0</v>
      </c>
      <c r="R8" s="61">
        <f t="shared" ref="R8:R45" si="1">IF($O8="Ya",P8*Q8,0)</f>
        <v>0</v>
      </c>
      <c r="S8" s="92">
        <f t="shared" ref="S8:S45" si="2">P8+R8</f>
        <v>0</v>
      </c>
      <c r="T8" s="66">
        <f>IF($L8="TER A",VLOOKUP(P8,TER!$A$5:$D$48,4,TRUE),IF($L8="TER B",VLOOKUP(P8,TER!$F$5:$I$44,4,TRUE),IF($L8="TER C",VLOOKUP(P8,TER!$K$5:$N$45,4,TRUE),0)))</f>
        <v>0</v>
      </c>
      <c r="U8" s="98">
        <f t="shared" ref="U8:U45" si="3">ROUND(S8*T8,0)</f>
        <v>0</v>
      </c>
      <c r="W8" s="118">
        <f>'Data Gaji'!BL8</f>
        <v>0</v>
      </c>
      <c r="X8" s="66">
        <f>IF($L8="TER A",VLOOKUP(W8,TER!$A$5:$D$48,4,TRUE),IF($L8="TER B",VLOOKUP(W8,TER!$F$5:$I$44,4,TRUE),IF($L8="TER C",VLOOKUP(W8,TER!$K$5:$N$45,4,TRUE),0)))</f>
        <v>0</v>
      </c>
      <c r="Y8" s="61">
        <f t="shared" ref="Y8:Y45" si="4">IF($O8="Ya",W8*X8,0)</f>
        <v>0</v>
      </c>
      <c r="Z8" s="92">
        <f t="shared" ref="Z8:Z45" si="5">W8+Y8</f>
        <v>0</v>
      </c>
      <c r="AA8" s="66">
        <f>IF($L8="TER A",VLOOKUP(W8,TER!$A$5:$D$48,4,TRUE),IF($L8="TER B",VLOOKUP(W8,TER!$F$5:$I$44,4,TRUE),IF($L8="TER C",VLOOKUP(W8,TER!$K$5:$N$45,4,TRUE),0)))</f>
        <v>0</v>
      </c>
      <c r="AB8" s="98">
        <f t="shared" ref="AB8:AB45" si="6">ROUND(Z8*AA8,0)</f>
        <v>0</v>
      </c>
      <c r="AD8" s="118">
        <f>'Data Gaji'!CL8</f>
        <v>0</v>
      </c>
      <c r="AE8" s="66">
        <f>IF($L8="TER A",VLOOKUP(AD8,TER!$A$5:$D$48,4,TRUE),IF($L8="TER B",VLOOKUP(AD8,TER!$F$5:$I$44,4,TRUE),IF($L8="TER C",VLOOKUP(AD8,TER!$K$5:$N$45,4,TRUE),0)))</f>
        <v>0</v>
      </c>
      <c r="AF8" s="61">
        <f t="shared" ref="AF8:AF45" si="7">IF($O8="Ya",AD8*AE8,0)</f>
        <v>0</v>
      </c>
      <c r="AG8" s="92">
        <f t="shared" ref="AG8:AG45" si="8">AD8+AF8</f>
        <v>0</v>
      </c>
      <c r="AH8" s="66">
        <f>IF($L8="TER A",VLOOKUP(AD8,TER!$A$5:$D$48,4,TRUE),IF($L8="TER B",VLOOKUP(AD8,TER!$F$5:$I$44,4,TRUE),IF($L8="TER C",VLOOKUP(AD8,TER!$K$5:$N$45,4,TRUE),0)))</f>
        <v>0</v>
      </c>
      <c r="AI8" s="98">
        <f t="shared" ref="AI8:AI45" si="9">ROUND(AG8*AH8,0)</f>
        <v>0</v>
      </c>
      <c r="AK8" s="118">
        <f>'Data Gaji'!DL8</f>
        <v>0</v>
      </c>
      <c r="AL8" s="66">
        <f>IF($L8="TER A",VLOOKUP(AK8,TER!$A$5:$D$48,4,TRUE),IF($L8="TER B",VLOOKUP(AK8,TER!$F$5:$I$44,4,TRUE),IF($L8="TER C",VLOOKUP(AK8,TER!$K$5:$N$45,4,TRUE),0)))</f>
        <v>0</v>
      </c>
      <c r="AM8" s="61">
        <f t="shared" ref="AM8:AM45" si="10">IF($O8="Ya",AK8*AL8,0)</f>
        <v>0</v>
      </c>
      <c r="AN8" s="92">
        <f t="shared" ref="AN8:AN45" si="11">AK8+AM8</f>
        <v>0</v>
      </c>
      <c r="AO8" s="66">
        <f>IF($L8="TER A",VLOOKUP(AK8,TER!$A$5:$D$48,4,TRUE),IF($L8="TER B",VLOOKUP(AK8,TER!$F$5:$I$44,4,TRUE),IF($L8="TER C",VLOOKUP(AK8,TER!$K$5:$N$45,4,TRUE),0)))</f>
        <v>0</v>
      </c>
      <c r="AP8" s="98">
        <f t="shared" ref="AP8:AP45" si="12">ROUND(AN8*AO8,0)</f>
        <v>0</v>
      </c>
      <c r="AR8" s="118">
        <f>'Data Gaji'!EL8</f>
        <v>0</v>
      </c>
      <c r="AS8" s="66">
        <f>IF($L8="TER A",VLOOKUP(AR8,TER!$A$5:$D$48,4,TRUE),IF($L8="TER B",VLOOKUP(AR8,TER!$F$5:$I$44,4,TRUE),IF($L8="TER C",VLOOKUP(AR8,TER!$K$5:$N$45,4,TRUE),0)))</f>
        <v>0</v>
      </c>
      <c r="AT8" s="61">
        <f t="shared" ref="AT8:AT45" si="13">IF($O8="Ya",AR8*AS8,0)</f>
        <v>0</v>
      </c>
      <c r="AU8" s="92">
        <f t="shared" ref="AU8:AU45" si="14">AR8+AT8</f>
        <v>0</v>
      </c>
      <c r="AV8" s="66">
        <f>IF($L8="TER A",VLOOKUP(AR8,TER!$A$5:$D$48,4,TRUE),IF($L8="TER B",VLOOKUP(AR8,TER!$F$5:$I$44,4,TRUE),IF($L8="TER C",VLOOKUP(AR8,TER!$K$5:$N$45,4,TRUE),0)))</f>
        <v>0</v>
      </c>
      <c r="AW8" s="98">
        <f t="shared" ref="AW8:AW45" si="15">ROUND(AU8*AV8,0)</f>
        <v>0</v>
      </c>
      <c r="AY8" s="118">
        <f>'Data Gaji'!FL8</f>
        <v>0</v>
      </c>
      <c r="AZ8" s="66">
        <f>IF($L8="TER A",VLOOKUP(AY8,TER!$A$5:$D$48,4,TRUE),IF($L8="TER B",VLOOKUP(AY8,TER!$F$5:$I$44,4,TRUE),IF($L8="TER C",VLOOKUP(AY8,TER!$K$5:$N$45,4,TRUE),0)))</f>
        <v>0</v>
      </c>
      <c r="BA8" s="61">
        <f t="shared" ref="BA8:BA45" si="16">IF($O8="Ya",AY8*AZ8,0)</f>
        <v>0</v>
      </c>
      <c r="BB8" s="92">
        <f t="shared" ref="BB8:BB45" si="17">AY8+BA8</f>
        <v>0</v>
      </c>
      <c r="BC8" s="66">
        <f>IF($L8="TER A",VLOOKUP(AY8,TER!$A$5:$D$48,4,TRUE),IF($L8="TER B",VLOOKUP(AY8,TER!$F$5:$I$44,4,TRUE),IF($L8="TER C",VLOOKUP(AY8,TER!$K$5:$N$45,4,TRUE),0)))</f>
        <v>0</v>
      </c>
      <c r="BD8" s="98">
        <f t="shared" ref="BD8:BD45" si="18">ROUND(BB8*BC8,0)</f>
        <v>0</v>
      </c>
      <c r="BF8" s="118">
        <f>'Data Gaji'!GL8</f>
        <v>0</v>
      </c>
      <c r="BG8" s="66">
        <f>IF($L8="TER A",VLOOKUP(BF8,TER!$A$5:$D$48,4,TRUE),IF($L8="TER B",VLOOKUP(BF8,TER!$F$5:$I$44,4,TRUE),IF($L8="TER C",VLOOKUP(BF8,TER!$K$5:$N$45,4,TRUE),0)))</f>
        <v>0</v>
      </c>
      <c r="BH8" s="61">
        <f t="shared" ref="BH8:BH45" si="19">IF($O8="Ya",BF8*BG8,0)</f>
        <v>0</v>
      </c>
      <c r="BI8" s="92">
        <f t="shared" ref="BI8:BI45" si="20">BF8+BH8</f>
        <v>0</v>
      </c>
      <c r="BJ8" s="66">
        <f>IF($L8="TER A",VLOOKUP(BF8,TER!$A$5:$D$48,4,TRUE),IF($L8="TER B",VLOOKUP(BF8,TER!$F$5:$I$44,4,TRUE),IF($L8="TER C",VLOOKUP(BF8,TER!$K$5:$N$45,4,TRUE),0)))</f>
        <v>0</v>
      </c>
      <c r="BK8" s="98">
        <f t="shared" ref="BK8:BK45" si="21">ROUND(BI8*BJ8,0)</f>
        <v>0</v>
      </c>
      <c r="BM8" s="118">
        <f>'Data Gaji'!HL8</f>
        <v>0</v>
      </c>
      <c r="BN8" s="66">
        <f>IF($L8="TER A",VLOOKUP(BM8,TER!$A$5:$D$48,4,TRUE),IF($L8="TER B",VLOOKUP(BM8,TER!$F$5:$I$44,4,TRUE),IF($L8="TER C",VLOOKUP(BM8,TER!$K$5:$N$45,4,TRUE),0)))</f>
        <v>0</v>
      </c>
      <c r="BO8" s="61">
        <f t="shared" ref="BO8:BO45" si="22">IF($O8="Ya",BM8*BN8,0)</f>
        <v>0</v>
      </c>
      <c r="BP8" s="92">
        <f t="shared" ref="BP8:BP45" si="23">BM8+BO8</f>
        <v>0</v>
      </c>
      <c r="BQ8" s="66">
        <f>IF($L8="TER A",VLOOKUP(BM8,TER!$A$5:$D$48,4,TRUE),IF($L8="TER B",VLOOKUP(BM8,TER!$F$5:$I$44,4,TRUE),IF($L8="TER C",VLOOKUP(BM8,TER!$K$5:$N$45,4,TRUE),0)))</f>
        <v>0</v>
      </c>
      <c r="BR8" s="98">
        <f t="shared" ref="BR8:BR45" si="24">ROUND(BP8*BQ8,0)</f>
        <v>0</v>
      </c>
      <c r="BT8" s="118">
        <f>'Data Gaji'!IL8</f>
        <v>0</v>
      </c>
      <c r="BU8" s="66">
        <f>IF($L8="TER A",VLOOKUP(BT8,TER!$A$5:$D$48,4,TRUE),IF($L8="TER B",VLOOKUP(BT8,TER!$F$5:$I$44,4,TRUE),IF($L8="TER C",VLOOKUP(BT8,TER!$K$5:$N$45,4,TRUE),0)))</f>
        <v>0</v>
      </c>
      <c r="BV8" s="61">
        <f t="shared" ref="BV8:BV45" si="25">IF($O8="Ya",BT8*BU8,0)</f>
        <v>0</v>
      </c>
      <c r="BW8" s="92">
        <f t="shared" ref="BW8:BW45" si="26">BT8+BV8</f>
        <v>0</v>
      </c>
      <c r="BX8" s="66">
        <f>IF($L8="TER A",VLOOKUP(BT8,TER!$A$5:$D$48,4,TRUE),IF($L8="TER B",VLOOKUP(BT8,TER!$F$5:$I$44,4,TRUE),IF($L8="TER C",VLOOKUP(BT8,TER!$K$5:$N$45,4,TRUE),0)))</f>
        <v>0</v>
      </c>
      <c r="BY8" s="98">
        <f t="shared" ref="BY8:BY45" si="27">ROUND(BW8*BX8,0)</f>
        <v>0</v>
      </c>
      <c r="CA8" s="118">
        <f>'Data Gaji'!JL8</f>
        <v>0</v>
      </c>
      <c r="CB8" s="66">
        <f>IF($L8="TER A",VLOOKUP(CA8,TER!$A$5:$D$48,4,TRUE),IF($L8="TER B",VLOOKUP(CA8,TER!$F$5:$I$44,4,TRUE),IF($L8="TER C",VLOOKUP(CA8,TER!$K$5:$N$45,4,TRUE),0)))</f>
        <v>0</v>
      </c>
      <c r="CC8" s="61">
        <f t="shared" ref="CC8:CC45" si="28">IF($O8="Ya",CA8*CB8,0)</f>
        <v>0</v>
      </c>
      <c r="CD8" s="92">
        <f t="shared" ref="CD8:CD45" si="29">CA8+CC8</f>
        <v>0</v>
      </c>
      <c r="CE8" s="66">
        <f>IF($L8="TER A",VLOOKUP(CA8,TER!$A$5:$D$48,4,TRUE),IF($L8="TER B",VLOOKUP(CA8,TER!$F$5:$I$44,4,TRUE),IF($L8="TER C",VLOOKUP(CA8,TER!$K$5:$N$45,4,TRUE),0)))</f>
        <v>0</v>
      </c>
      <c r="CF8" s="98">
        <f t="shared" ref="CF8:CF45" si="30">ROUND(CD8*CE8,0)</f>
        <v>0</v>
      </c>
      <c r="CH8" s="118">
        <f>'Data Gaji'!KL8</f>
        <v>0</v>
      </c>
      <c r="CI8" s="66">
        <f>IF($L8="TER A",VLOOKUP(CH8,TER!$A$5:$D$48,4,TRUE),IF($L8="TER B",VLOOKUP(CH8,TER!$F$5:$I$44,4,TRUE),IF($L8="TER C",VLOOKUP(CH8,TER!$K$5:$N$45,4,TRUE),0)))</f>
        <v>0</v>
      </c>
      <c r="CJ8" s="61">
        <f t="shared" ref="CJ8:CJ45" si="31">IF($O8="Ya",CH8*CI8,0)</f>
        <v>0</v>
      </c>
      <c r="CK8" s="92">
        <f t="shared" ref="CK8:CK45" si="32">CH8+CJ8</f>
        <v>0</v>
      </c>
      <c r="CL8" s="66">
        <f>IF($L8="TER A",VLOOKUP(CH8,TER!$A$5:$D$48,4,TRUE),IF($L8="TER B",VLOOKUP(CH8,TER!$F$5:$I$44,4,TRUE),IF($L8="TER C",VLOOKUP(CH8,TER!$K$5:$N$45,4,TRUE),0)))</f>
        <v>0</v>
      </c>
      <c r="CM8" s="98">
        <f t="shared" ref="CM8:CM45" si="33">ROUND(CK8*CL8,0)</f>
        <v>0</v>
      </c>
      <c r="CO8" s="118">
        <f>'Data Gaji'!LL8</f>
        <v>0</v>
      </c>
      <c r="CP8" s="66">
        <f>IF($L8="TER A",VLOOKUP(CO8,TER!$A$5:$D$48,4,TRUE),IF($L8="TER B",VLOOKUP(CO8,TER!$F$5:$I$44,4,TRUE),IF($L8="TER C",VLOOKUP(CO8,TER!$K$5:$N$45,4,TRUE),0)))</f>
        <v>0</v>
      </c>
      <c r="CQ8" s="61">
        <f t="shared" ref="CQ8:CQ45" si="34">IF($O8="Ya",CO8*CP8,0)</f>
        <v>0</v>
      </c>
      <c r="CR8" s="92">
        <f t="shared" ref="CR8:CR45" si="35">CO8+CQ8</f>
        <v>0</v>
      </c>
      <c r="CS8" s="66">
        <f>IF($L8="TER A",VLOOKUP(CO8,TER!$A$5:$D$48,4,TRUE),IF($L8="TER B",VLOOKUP(CO8,TER!$F$5:$I$44,4,TRUE),IF($L8="TER C",VLOOKUP(CO8,TER!$K$5:$N$45,4,TRUE),0)))</f>
        <v>0</v>
      </c>
      <c r="CT8" s="98">
        <f t="shared" ref="CT8:CT45" si="36">CR8*CS8</f>
        <v>0</v>
      </c>
    </row>
    <row r="9" spans="1:98" customFormat="1" ht="15" customHeight="1" x14ac:dyDescent="0.35">
      <c r="A9" s="52">
        <f t="shared" si="0"/>
        <v>3</v>
      </c>
      <c r="B9" s="53"/>
      <c r="C9" s="73"/>
      <c r="D9" s="55"/>
      <c r="E9" s="281"/>
      <c r="F9" s="272"/>
      <c r="G9" s="277"/>
      <c r="H9" s="272"/>
      <c r="I9" s="272"/>
      <c r="J9" s="54"/>
      <c r="K9" s="272">
        <f>'Data Gaji'!K9</f>
        <v>0</v>
      </c>
      <c r="L9" s="67" t="str">
        <f>IF(ISNA(VLOOKUP(K9,'PTKP &amp; TARIF'!$D$4:$E$11,2,0)),"",VLOOKUP(K9,'PTKP &amp; TARIF'!$D$4:$E$11,2,0))</f>
        <v/>
      </c>
      <c r="M9" s="9">
        <v>26</v>
      </c>
      <c r="N9" s="9">
        <v>26</v>
      </c>
      <c r="O9" s="115" t="s">
        <v>92</v>
      </c>
      <c r="P9" s="118">
        <f>'Data Gaji'!AL9</f>
        <v>0</v>
      </c>
      <c r="Q9" s="66">
        <f>IF($L9="TER A",VLOOKUP(P9,TER!$A$5:$D$48,4,TRUE),IF($L9="TER B",VLOOKUP(P9,TER!$F$5:$I$44,4,TRUE),IF($L9="TER C",VLOOKUP(P9,TER!$K$5:$N$45,4,TRUE),0)))</f>
        <v>0</v>
      </c>
      <c r="R9" s="61">
        <f t="shared" si="1"/>
        <v>0</v>
      </c>
      <c r="S9" s="92">
        <f t="shared" si="2"/>
        <v>0</v>
      </c>
      <c r="T9" s="66">
        <f>IF($L9="TER A",VLOOKUP(P9,TER!$A$5:$D$48,4,TRUE),IF($L9="TER B",VLOOKUP(P9,TER!$F$5:$I$44,4,TRUE),IF($L9="TER C",VLOOKUP(P9,TER!$K$5:$N$45,4,TRUE),0)))</f>
        <v>0</v>
      </c>
      <c r="U9" s="98">
        <f>ROUND(S9*T9,2)</f>
        <v>0</v>
      </c>
      <c r="W9" s="118">
        <f>'Data Gaji'!BL9</f>
        <v>0</v>
      </c>
      <c r="X9" s="66">
        <f>IF($L9="TER A",VLOOKUP(W9,TER!$A$5:$D$48,4,TRUE),IF($L9="TER B",VLOOKUP(W9,TER!$F$5:$I$44,4,TRUE),IF($L9="TER C",VLOOKUP(W9,TER!$K$5:$N$45,4,TRUE),0)))</f>
        <v>0</v>
      </c>
      <c r="Y9" s="61">
        <f t="shared" si="4"/>
        <v>0</v>
      </c>
      <c r="Z9" s="92">
        <f t="shared" si="5"/>
        <v>0</v>
      </c>
      <c r="AA9" s="66">
        <f>IF($L9="TER A",VLOOKUP(W9,TER!$A$5:$D$48,4,TRUE),IF($L9="TER B",VLOOKUP(W9,TER!$F$5:$I$44,4,TRUE),IF($L9="TER C",VLOOKUP(W9,TER!$K$5:$N$45,4,TRUE),0)))</f>
        <v>0</v>
      </c>
      <c r="AB9" s="98">
        <f t="shared" si="6"/>
        <v>0</v>
      </c>
      <c r="AD9" s="118">
        <f>'Data Gaji'!CL9</f>
        <v>0</v>
      </c>
      <c r="AE9" s="66">
        <f>IF($L9="TER A",VLOOKUP(AD9,TER!$A$5:$D$48,4,TRUE),IF($L9="TER B",VLOOKUP(AD9,TER!$F$5:$I$44,4,TRUE),IF($L9="TER C",VLOOKUP(AD9,TER!$K$5:$N$45,4,TRUE),0)))</f>
        <v>0</v>
      </c>
      <c r="AF9" s="61">
        <f t="shared" si="7"/>
        <v>0</v>
      </c>
      <c r="AG9" s="92">
        <f t="shared" si="8"/>
        <v>0</v>
      </c>
      <c r="AH9" s="66">
        <f>IF($L9="TER A",VLOOKUP(AD9,TER!$A$5:$D$48,4,TRUE),IF($L9="TER B",VLOOKUP(AD9,TER!$F$5:$I$44,4,TRUE),IF($L9="TER C",VLOOKUP(AD9,TER!$K$5:$N$45,4,TRUE),0)))</f>
        <v>0</v>
      </c>
      <c r="AI9" s="98">
        <f t="shared" si="9"/>
        <v>0</v>
      </c>
      <c r="AK9" s="118">
        <f>'Data Gaji'!DL9</f>
        <v>0</v>
      </c>
      <c r="AL9" s="66">
        <f>IF($L9="TER A",VLOOKUP(AK9,TER!$A$5:$D$48,4,TRUE),IF($L9="TER B",VLOOKUP(AK9,TER!$F$5:$I$44,4,TRUE),IF($L9="TER C",VLOOKUP(AK9,TER!$K$5:$N$45,4,TRUE),0)))</f>
        <v>0</v>
      </c>
      <c r="AM9" s="61">
        <f t="shared" si="10"/>
        <v>0</v>
      </c>
      <c r="AN9" s="92">
        <f t="shared" si="11"/>
        <v>0</v>
      </c>
      <c r="AO9" s="66">
        <f>IF($L9="TER A",VLOOKUP(AK9,TER!$A$5:$D$48,4,TRUE),IF($L9="TER B",VLOOKUP(AK9,TER!$F$5:$I$44,4,TRUE),IF($L9="TER C",VLOOKUP(AK9,TER!$K$5:$N$45,4,TRUE),0)))</f>
        <v>0</v>
      </c>
      <c r="AP9" s="98">
        <f t="shared" si="12"/>
        <v>0</v>
      </c>
      <c r="AR9" s="118">
        <f>'Data Gaji'!EL9</f>
        <v>0</v>
      </c>
      <c r="AS9" s="66">
        <f>IF($L9="TER A",VLOOKUP(AR9,TER!$A$5:$D$48,4,TRUE),IF($L9="TER B",VLOOKUP(AR9,TER!$F$5:$I$44,4,TRUE),IF($L9="TER C",VLOOKUP(AR9,TER!$K$5:$N$45,4,TRUE),0)))</f>
        <v>0</v>
      </c>
      <c r="AT9" s="61">
        <f t="shared" si="13"/>
        <v>0</v>
      </c>
      <c r="AU9" s="92">
        <f t="shared" si="14"/>
        <v>0</v>
      </c>
      <c r="AV9" s="66">
        <f>IF($L9="TER A",VLOOKUP(AR9,TER!$A$5:$D$48,4,TRUE),IF($L9="TER B",VLOOKUP(AR9,TER!$F$5:$I$44,4,TRUE),IF($L9="TER C",VLOOKUP(AR9,TER!$K$5:$N$45,4,TRUE),0)))</f>
        <v>0</v>
      </c>
      <c r="AW9" s="98">
        <f t="shared" si="15"/>
        <v>0</v>
      </c>
      <c r="AY9" s="118">
        <f>'Data Gaji'!FL9</f>
        <v>0</v>
      </c>
      <c r="AZ9" s="66">
        <f>IF($L9="TER A",VLOOKUP(AY9,TER!$A$5:$D$48,4,TRUE),IF($L9="TER B",VLOOKUP(AY9,TER!$F$5:$I$44,4,TRUE),IF($L9="TER C",VLOOKUP(AY9,TER!$K$5:$N$45,4,TRUE),0)))</f>
        <v>0</v>
      </c>
      <c r="BA9" s="61">
        <f t="shared" si="16"/>
        <v>0</v>
      </c>
      <c r="BB9" s="92">
        <f t="shared" si="17"/>
        <v>0</v>
      </c>
      <c r="BC9" s="66">
        <f>IF($L9="TER A",VLOOKUP(AY9,TER!$A$5:$D$48,4,TRUE),IF($L9="TER B",VLOOKUP(AY9,TER!$F$5:$I$44,4,TRUE),IF($L9="TER C",VLOOKUP(AY9,TER!$K$5:$N$45,4,TRUE),0)))</f>
        <v>0</v>
      </c>
      <c r="BD9" s="98">
        <f t="shared" si="18"/>
        <v>0</v>
      </c>
      <c r="BF9" s="118">
        <f>'Data Gaji'!GL9</f>
        <v>0</v>
      </c>
      <c r="BG9" s="66">
        <f>IF($L9="TER A",VLOOKUP(BF9,TER!$A$5:$D$48,4,TRUE),IF($L9="TER B",VLOOKUP(BF9,TER!$F$5:$I$44,4,TRUE),IF($L9="TER C",VLOOKUP(BF9,TER!$K$5:$N$45,4,TRUE),0)))</f>
        <v>0</v>
      </c>
      <c r="BH9" s="61">
        <f t="shared" si="19"/>
        <v>0</v>
      </c>
      <c r="BI9" s="92">
        <f t="shared" si="20"/>
        <v>0</v>
      </c>
      <c r="BJ9" s="66">
        <f>IF($L9="TER A",VLOOKUP(BF9,TER!$A$5:$D$48,4,TRUE),IF($L9="TER B",VLOOKUP(BF9,TER!$F$5:$I$44,4,TRUE),IF($L9="TER C",VLOOKUP(BF9,TER!$K$5:$N$45,4,TRUE),0)))</f>
        <v>0</v>
      </c>
      <c r="BK9" s="98">
        <f t="shared" si="21"/>
        <v>0</v>
      </c>
      <c r="BM9" s="118">
        <f>'Data Gaji'!HL9</f>
        <v>0</v>
      </c>
      <c r="BN9" s="66">
        <f>IF($L9="TER A",VLOOKUP(BM9,TER!$A$5:$D$48,4,TRUE),IF($L9="TER B",VLOOKUP(BM9,TER!$F$5:$I$44,4,TRUE),IF($L9="TER C",VLOOKUP(BM9,TER!$K$5:$N$45,4,TRUE),0)))</f>
        <v>0</v>
      </c>
      <c r="BO9" s="61">
        <f t="shared" si="22"/>
        <v>0</v>
      </c>
      <c r="BP9" s="92">
        <f t="shared" si="23"/>
        <v>0</v>
      </c>
      <c r="BQ9" s="66">
        <f>IF($L9="TER A",VLOOKUP(BM9,TER!$A$5:$D$48,4,TRUE),IF($L9="TER B",VLOOKUP(BM9,TER!$F$5:$I$44,4,TRUE),IF($L9="TER C",VLOOKUP(BM9,TER!$K$5:$N$45,4,TRUE),0)))</f>
        <v>0</v>
      </c>
      <c r="BR9" s="98">
        <f t="shared" si="24"/>
        <v>0</v>
      </c>
      <c r="BT9" s="118">
        <f>'Data Gaji'!IL9</f>
        <v>0</v>
      </c>
      <c r="BU9" s="66">
        <f>IF($L9="TER A",VLOOKUP(BT9,TER!$A$5:$D$48,4,TRUE),IF($L9="TER B",VLOOKUP(BT9,TER!$F$5:$I$44,4,TRUE),IF($L9="TER C",VLOOKUP(BT9,TER!$K$5:$N$45,4,TRUE),0)))</f>
        <v>0</v>
      </c>
      <c r="BV9" s="61">
        <f t="shared" si="25"/>
        <v>0</v>
      </c>
      <c r="BW9" s="92">
        <f t="shared" si="26"/>
        <v>0</v>
      </c>
      <c r="BX9" s="66">
        <f>IF($L9="TER A",VLOOKUP(BT9,TER!$A$5:$D$48,4,TRUE),IF($L9="TER B",VLOOKUP(BT9,TER!$F$5:$I$44,4,TRUE),IF($L9="TER C",VLOOKUP(BT9,TER!$K$5:$N$45,4,TRUE),0)))</f>
        <v>0</v>
      </c>
      <c r="BY9" s="98">
        <f t="shared" si="27"/>
        <v>0</v>
      </c>
      <c r="CA9" s="118">
        <f>'Data Gaji'!JL9</f>
        <v>0</v>
      </c>
      <c r="CB9" s="66">
        <f>IF($L9="TER A",VLOOKUP(CA9,TER!$A$5:$D$48,4,TRUE),IF($L9="TER B",VLOOKUP(CA9,TER!$F$5:$I$44,4,TRUE),IF($L9="TER C",VLOOKUP(CA9,TER!$K$5:$N$45,4,TRUE),0)))</f>
        <v>0</v>
      </c>
      <c r="CC9" s="61">
        <f t="shared" si="28"/>
        <v>0</v>
      </c>
      <c r="CD9" s="92">
        <f t="shared" si="29"/>
        <v>0</v>
      </c>
      <c r="CE9" s="66">
        <f>IF($L9="TER A",VLOOKUP(CA9,TER!$A$5:$D$48,4,TRUE),IF($L9="TER B",VLOOKUP(CA9,TER!$F$5:$I$44,4,TRUE),IF($L9="TER C",VLOOKUP(CA9,TER!$K$5:$N$45,4,TRUE),0)))</f>
        <v>0</v>
      </c>
      <c r="CF9" s="98">
        <f t="shared" si="30"/>
        <v>0</v>
      </c>
      <c r="CH9" s="118">
        <f>'Data Gaji'!KL9</f>
        <v>0</v>
      </c>
      <c r="CI9" s="66">
        <f>IF($L9="TER A",VLOOKUP(CH9,TER!$A$5:$D$48,4,TRUE),IF($L9="TER B",VLOOKUP(CH9,TER!$F$5:$I$44,4,TRUE),IF($L9="TER C",VLOOKUP(CH9,TER!$K$5:$N$45,4,TRUE),0)))</f>
        <v>0</v>
      </c>
      <c r="CJ9" s="61">
        <f t="shared" si="31"/>
        <v>0</v>
      </c>
      <c r="CK9" s="92">
        <f t="shared" si="32"/>
        <v>0</v>
      </c>
      <c r="CL9" s="66">
        <f>IF($L9="TER A",VLOOKUP(CH9,TER!$A$5:$D$48,4,TRUE),IF($L9="TER B",VLOOKUP(CH9,TER!$F$5:$I$44,4,TRUE),IF($L9="TER C",VLOOKUP(CH9,TER!$K$5:$N$45,4,TRUE),0)))</f>
        <v>0</v>
      </c>
      <c r="CM9" s="98">
        <f t="shared" si="33"/>
        <v>0</v>
      </c>
      <c r="CO9" s="118">
        <f>'Data Gaji'!LL9</f>
        <v>0</v>
      </c>
      <c r="CP9" s="66">
        <f>IF($L9="TER A",VLOOKUP(CO9,TER!$A$5:$D$48,4,TRUE),IF($L9="TER B",VLOOKUP(CO9,TER!$F$5:$I$44,4,TRUE),IF($L9="TER C",VLOOKUP(CO9,TER!$K$5:$N$45,4,TRUE),0)))</f>
        <v>0</v>
      </c>
      <c r="CQ9" s="61">
        <f t="shared" si="34"/>
        <v>0</v>
      </c>
      <c r="CR9" s="92">
        <f t="shared" si="35"/>
        <v>0</v>
      </c>
      <c r="CS9" s="66">
        <f>IF($L9="TER A",VLOOKUP(CO9,TER!$A$5:$D$48,4,TRUE),IF($L9="TER B",VLOOKUP(CO9,TER!$F$5:$I$44,4,TRUE),IF($L9="TER C",VLOOKUP(CO9,TER!$K$5:$N$45,4,TRUE),0)))</f>
        <v>0</v>
      </c>
      <c r="CT9" s="98">
        <f t="shared" si="36"/>
        <v>0</v>
      </c>
    </row>
    <row r="10" spans="1:98" customFormat="1" ht="15" customHeight="1" x14ac:dyDescent="0.35">
      <c r="A10" s="52">
        <f t="shared" si="0"/>
        <v>4</v>
      </c>
      <c r="B10" s="53"/>
      <c r="C10" s="73"/>
      <c r="D10" s="55"/>
      <c r="E10" s="281"/>
      <c r="F10" s="272"/>
      <c r="G10" s="277"/>
      <c r="H10" s="272"/>
      <c r="I10" s="272"/>
      <c r="J10" s="54"/>
      <c r="K10" s="272">
        <f>'Data Gaji'!K10</f>
        <v>0</v>
      </c>
      <c r="L10" s="67" t="str">
        <f>IF(ISNA(VLOOKUP(K10,'PTKP &amp; TARIF'!$D$4:$E$11,2,0)),"",VLOOKUP(K10,'PTKP &amp; TARIF'!$D$4:$E$11,2,0))</f>
        <v/>
      </c>
      <c r="M10" s="9">
        <v>26</v>
      </c>
      <c r="N10" s="9">
        <v>26</v>
      </c>
      <c r="O10" s="115" t="s">
        <v>92</v>
      </c>
      <c r="P10" s="118">
        <f>'Data Gaji'!AL10</f>
        <v>0</v>
      </c>
      <c r="Q10" s="66">
        <f>IF($L10="TER A",VLOOKUP(P10,TER!$A$5:$D$48,4,TRUE),IF($L10="TER B",VLOOKUP(P10,TER!$F$5:$I$44,4,TRUE),IF($L10="TER C",VLOOKUP(P10,TER!$K$5:$N$45,4,TRUE),0)))</f>
        <v>0</v>
      </c>
      <c r="R10" s="61">
        <f t="shared" si="1"/>
        <v>0</v>
      </c>
      <c r="S10" s="92">
        <f t="shared" si="2"/>
        <v>0</v>
      </c>
      <c r="T10" s="66">
        <f>IF($L10="TER A",VLOOKUP(P10,TER!$A$5:$D$48,4,TRUE),IF($L10="TER B",VLOOKUP(P10,TER!$F$5:$I$44,4,TRUE),IF($L10="TER C",VLOOKUP(P10,TER!$K$5:$N$45,4,TRUE),0)))</f>
        <v>0</v>
      </c>
      <c r="U10" s="98">
        <f t="shared" si="3"/>
        <v>0</v>
      </c>
      <c r="W10" s="118">
        <f>'Data Gaji'!BL10</f>
        <v>0</v>
      </c>
      <c r="X10" s="66">
        <f>IF($L10="TER A",VLOOKUP(W10,TER!$A$5:$D$48,4,TRUE),IF($L10="TER B",VLOOKUP(W10,TER!$F$5:$I$44,4,TRUE),IF($L10="TER C",VLOOKUP(W10,TER!$K$5:$N$45,4,TRUE),0)))</f>
        <v>0</v>
      </c>
      <c r="Y10" s="61">
        <f t="shared" si="4"/>
        <v>0</v>
      </c>
      <c r="Z10" s="92">
        <f t="shared" si="5"/>
        <v>0</v>
      </c>
      <c r="AA10" s="66">
        <f>IF($L10="TER A",VLOOKUP(W10,TER!$A$5:$D$48,4,TRUE),IF($L10="TER B",VLOOKUP(W10,TER!$F$5:$I$44,4,TRUE),IF($L10="TER C",VLOOKUP(W10,TER!$K$5:$N$45,4,TRUE),0)))</f>
        <v>0</v>
      </c>
      <c r="AB10" s="98">
        <f t="shared" si="6"/>
        <v>0</v>
      </c>
      <c r="AD10" s="118">
        <f>'Data Gaji'!CL10</f>
        <v>0</v>
      </c>
      <c r="AE10" s="66">
        <f>IF($L10="TER A",VLOOKUP(AD10,TER!$A$5:$D$48,4,TRUE),IF($L10="TER B",VLOOKUP(AD10,TER!$F$5:$I$44,4,TRUE),IF($L10="TER C",VLOOKUP(AD10,TER!$K$5:$N$45,4,TRUE),0)))</f>
        <v>0</v>
      </c>
      <c r="AF10" s="61">
        <f t="shared" si="7"/>
        <v>0</v>
      </c>
      <c r="AG10" s="92">
        <f t="shared" si="8"/>
        <v>0</v>
      </c>
      <c r="AH10" s="66">
        <f>IF($L10="TER A",VLOOKUP(AD10,TER!$A$5:$D$48,4,TRUE),IF($L10="TER B",VLOOKUP(AD10,TER!$F$5:$I$44,4,TRUE),IF($L10="TER C",VLOOKUP(AD10,TER!$K$5:$N$45,4,TRUE),0)))</f>
        <v>0</v>
      </c>
      <c r="AI10" s="98">
        <f t="shared" si="9"/>
        <v>0</v>
      </c>
      <c r="AK10" s="118">
        <f>'Data Gaji'!DL10</f>
        <v>0</v>
      </c>
      <c r="AL10" s="66">
        <f>IF($L10="TER A",VLOOKUP(AK10,TER!$A$5:$D$48,4,TRUE),IF($L10="TER B",VLOOKUP(AK10,TER!$F$5:$I$44,4,TRUE),IF($L10="TER C",VLOOKUP(AK10,TER!$K$5:$N$45,4,TRUE),0)))</f>
        <v>0</v>
      </c>
      <c r="AM10" s="61">
        <f t="shared" si="10"/>
        <v>0</v>
      </c>
      <c r="AN10" s="92">
        <f t="shared" si="11"/>
        <v>0</v>
      </c>
      <c r="AO10" s="66">
        <f>IF($L10="TER A",VLOOKUP(AK10,TER!$A$5:$D$48,4,TRUE),IF($L10="TER B",VLOOKUP(AK10,TER!$F$5:$I$44,4,TRUE),IF($L10="TER C",VLOOKUP(AK10,TER!$K$5:$N$45,4,TRUE),0)))</f>
        <v>0</v>
      </c>
      <c r="AP10" s="98">
        <f t="shared" si="12"/>
        <v>0</v>
      </c>
      <c r="AR10" s="118">
        <f>'Data Gaji'!EL10</f>
        <v>0</v>
      </c>
      <c r="AS10" s="66">
        <f>IF($L10="TER A",VLOOKUP(AR10,TER!$A$5:$D$48,4,TRUE),IF($L10="TER B",VLOOKUP(AR10,TER!$F$5:$I$44,4,TRUE),IF($L10="TER C",VLOOKUP(AR10,TER!$K$5:$N$45,4,TRUE),0)))</f>
        <v>0</v>
      </c>
      <c r="AT10" s="61">
        <f t="shared" si="13"/>
        <v>0</v>
      </c>
      <c r="AU10" s="92">
        <f t="shared" si="14"/>
        <v>0</v>
      </c>
      <c r="AV10" s="66">
        <f>IF($L10="TER A",VLOOKUP(AR10,TER!$A$5:$D$48,4,TRUE),IF($L10="TER B",VLOOKUP(AR10,TER!$F$5:$I$44,4,TRUE),IF($L10="TER C",VLOOKUP(AR10,TER!$K$5:$N$45,4,TRUE),0)))</f>
        <v>0</v>
      </c>
      <c r="AW10" s="98">
        <f t="shared" si="15"/>
        <v>0</v>
      </c>
      <c r="AY10" s="118">
        <f>'Data Gaji'!FL10</f>
        <v>0</v>
      </c>
      <c r="AZ10" s="66">
        <f>IF($L10="TER A",VLOOKUP(AY10,TER!$A$5:$D$48,4,TRUE),IF($L10="TER B",VLOOKUP(AY10,TER!$F$5:$I$44,4,TRUE),IF($L10="TER C",VLOOKUP(AY10,TER!$K$5:$N$45,4,TRUE),0)))</f>
        <v>0</v>
      </c>
      <c r="BA10" s="61">
        <f t="shared" si="16"/>
        <v>0</v>
      </c>
      <c r="BB10" s="92">
        <f t="shared" si="17"/>
        <v>0</v>
      </c>
      <c r="BC10" s="66">
        <f>IF($L10="TER A",VLOOKUP(AY10,TER!$A$5:$D$48,4,TRUE),IF($L10="TER B",VLOOKUP(AY10,TER!$F$5:$I$44,4,TRUE),IF($L10="TER C",VLOOKUP(AY10,TER!$K$5:$N$45,4,TRUE),0)))</f>
        <v>0</v>
      </c>
      <c r="BD10" s="98">
        <f t="shared" si="18"/>
        <v>0</v>
      </c>
      <c r="BF10" s="118">
        <f>'Data Gaji'!GL10</f>
        <v>0</v>
      </c>
      <c r="BG10" s="66">
        <f>IF($L10="TER A",VLOOKUP(BF10,TER!$A$5:$D$48,4,TRUE),IF($L10="TER B",VLOOKUP(BF10,TER!$F$5:$I$44,4,TRUE),IF($L10="TER C",VLOOKUP(BF10,TER!$K$5:$N$45,4,TRUE),0)))</f>
        <v>0</v>
      </c>
      <c r="BH10" s="61">
        <f t="shared" si="19"/>
        <v>0</v>
      </c>
      <c r="BI10" s="92">
        <f t="shared" si="20"/>
        <v>0</v>
      </c>
      <c r="BJ10" s="66">
        <f>IF($L10="TER A",VLOOKUP(BF10,TER!$A$5:$D$48,4,TRUE),IF($L10="TER B",VLOOKUP(BF10,TER!$F$5:$I$44,4,TRUE),IF($L10="TER C",VLOOKUP(BF10,TER!$K$5:$N$45,4,TRUE),0)))</f>
        <v>0</v>
      </c>
      <c r="BK10" s="98">
        <f t="shared" si="21"/>
        <v>0</v>
      </c>
      <c r="BM10" s="118">
        <f>'Data Gaji'!HL10</f>
        <v>0</v>
      </c>
      <c r="BN10" s="66">
        <f>IF($L10="TER A",VLOOKUP(BM10,TER!$A$5:$D$48,4,TRUE),IF($L10="TER B",VLOOKUP(BM10,TER!$F$5:$I$44,4,TRUE),IF($L10="TER C",VLOOKUP(BM10,TER!$K$5:$N$45,4,TRUE),0)))</f>
        <v>0</v>
      </c>
      <c r="BO10" s="61">
        <f t="shared" si="22"/>
        <v>0</v>
      </c>
      <c r="BP10" s="92">
        <f t="shared" si="23"/>
        <v>0</v>
      </c>
      <c r="BQ10" s="66">
        <f>IF($L10="TER A",VLOOKUP(BM10,TER!$A$5:$D$48,4,TRUE),IF($L10="TER B",VLOOKUP(BM10,TER!$F$5:$I$44,4,TRUE),IF($L10="TER C",VLOOKUP(BM10,TER!$K$5:$N$45,4,TRUE),0)))</f>
        <v>0</v>
      </c>
      <c r="BR10" s="98">
        <f t="shared" si="24"/>
        <v>0</v>
      </c>
      <c r="BT10" s="118">
        <f>'Data Gaji'!IL10</f>
        <v>0</v>
      </c>
      <c r="BU10" s="66">
        <f>IF($L10="TER A",VLOOKUP(BT10,TER!$A$5:$D$48,4,TRUE),IF($L10="TER B",VLOOKUP(BT10,TER!$F$5:$I$44,4,TRUE),IF($L10="TER C",VLOOKUP(BT10,TER!$K$5:$N$45,4,TRUE),0)))</f>
        <v>0</v>
      </c>
      <c r="BV10" s="61">
        <f t="shared" si="25"/>
        <v>0</v>
      </c>
      <c r="BW10" s="92">
        <f t="shared" si="26"/>
        <v>0</v>
      </c>
      <c r="BX10" s="66">
        <f>IF($L10="TER A",VLOOKUP(BT10,TER!$A$5:$D$48,4,TRUE),IF($L10="TER B",VLOOKUP(BT10,TER!$F$5:$I$44,4,TRUE),IF($L10="TER C",VLOOKUP(BT10,TER!$K$5:$N$45,4,TRUE),0)))</f>
        <v>0</v>
      </c>
      <c r="BY10" s="98">
        <f t="shared" si="27"/>
        <v>0</v>
      </c>
      <c r="CA10" s="118">
        <f>'Data Gaji'!JL10</f>
        <v>0</v>
      </c>
      <c r="CB10" s="66">
        <f>IF($L10="TER A",VLOOKUP(CA10,TER!$A$5:$D$48,4,TRUE),IF($L10="TER B",VLOOKUP(CA10,TER!$F$5:$I$44,4,TRUE),IF($L10="TER C",VLOOKUP(CA10,TER!$K$5:$N$45,4,TRUE),0)))</f>
        <v>0</v>
      </c>
      <c r="CC10" s="61">
        <f t="shared" si="28"/>
        <v>0</v>
      </c>
      <c r="CD10" s="92">
        <f t="shared" si="29"/>
        <v>0</v>
      </c>
      <c r="CE10" s="66">
        <f>IF($L10="TER A",VLOOKUP(CA10,TER!$A$5:$D$48,4,TRUE),IF($L10="TER B",VLOOKUP(CA10,TER!$F$5:$I$44,4,TRUE),IF($L10="TER C",VLOOKUP(CA10,TER!$K$5:$N$45,4,TRUE),0)))</f>
        <v>0</v>
      </c>
      <c r="CF10" s="98">
        <f t="shared" si="30"/>
        <v>0</v>
      </c>
      <c r="CH10" s="118">
        <f>'Data Gaji'!KL10</f>
        <v>0</v>
      </c>
      <c r="CI10" s="66">
        <f>IF($L10="TER A",VLOOKUP(CH10,TER!$A$5:$D$48,4,TRUE),IF($L10="TER B",VLOOKUP(CH10,TER!$F$5:$I$44,4,TRUE),IF($L10="TER C",VLOOKUP(CH10,TER!$K$5:$N$45,4,TRUE),0)))</f>
        <v>0</v>
      </c>
      <c r="CJ10" s="61">
        <f t="shared" si="31"/>
        <v>0</v>
      </c>
      <c r="CK10" s="92">
        <f t="shared" si="32"/>
        <v>0</v>
      </c>
      <c r="CL10" s="66">
        <f>IF($L10="TER A",VLOOKUP(CH10,TER!$A$5:$D$48,4,TRUE),IF($L10="TER B",VLOOKUP(CH10,TER!$F$5:$I$44,4,TRUE),IF($L10="TER C",VLOOKUP(CH10,TER!$K$5:$N$45,4,TRUE),0)))</f>
        <v>0</v>
      </c>
      <c r="CM10" s="98">
        <f t="shared" si="33"/>
        <v>0</v>
      </c>
      <c r="CO10" s="118">
        <f>'Data Gaji'!LL10</f>
        <v>0</v>
      </c>
      <c r="CP10" s="66">
        <f>IF($L10="TER A",VLOOKUP(CO10,TER!$A$5:$D$48,4,TRUE),IF($L10="TER B",VLOOKUP(CO10,TER!$F$5:$I$44,4,TRUE),IF($L10="TER C",VLOOKUP(CO10,TER!$K$5:$N$45,4,TRUE),0)))</f>
        <v>0</v>
      </c>
      <c r="CQ10" s="61">
        <f t="shared" si="34"/>
        <v>0</v>
      </c>
      <c r="CR10" s="92">
        <f t="shared" si="35"/>
        <v>0</v>
      </c>
      <c r="CS10" s="66">
        <f>IF($L10="TER A",VLOOKUP(CO10,TER!$A$5:$D$48,4,TRUE),IF($L10="TER B",VLOOKUP(CO10,TER!$F$5:$I$44,4,TRUE),IF($L10="TER C",VLOOKUP(CO10,TER!$K$5:$N$45,4,TRUE),0)))</f>
        <v>0</v>
      </c>
      <c r="CT10" s="98">
        <f t="shared" si="36"/>
        <v>0</v>
      </c>
    </row>
    <row r="11" spans="1:98" customFormat="1" ht="15" customHeight="1" x14ac:dyDescent="0.35">
      <c r="A11" s="52">
        <f t="shared" si="0"/>
        <v>5</v>
      </c>
      <c r="B11" s="53"/>
      <c r="C11" s="73"/>
      <c r="D11" s="55"/>
      <c r="E11" s="281"/>
      <c r="F11" s="272"/>
      <c r="G11" s="277"/>
      <c r="H11" s="272"/>
      <c r="I11" s="272"/>
      <c r="J11" s="54"/>
      <c r="K11" s="272">
        <f>'Data Gaji'!K11</f>
        <v>0</v>
      </c>
      <c r="L11" s="67" t="str">
        <f>IF(ISNA(VLOOKUP(K11,'PTKP &amp; TARIF'!$D$4:$E$11,2,0)),"",VLOOKUP(K11,'PTKP &amp; TARIF'!$D$4:$E$11,2,0))</f>
        <v/>
      </c>
      <c r="M11" s="9">
        <v>26</v>
      </c>
      <c r="N11" s="9">
        <v>26</v>
      </c>
      <c r="O11" s="115" t="s">
        <v>92</v>
      </c>
      <c r="P11" s="118">
        <f>'Data Gaji'!AL11</f>
        <v>0</v>
      </c>
      <c r="Q11" s="66">
        <f>IF($L11="TER A",VLOOKUP(P11,TER!$A$5:$D$48,4,TRUE),IF($L11="TER B",VLOOKUP(P11,TER!$F$5:$I$44,4,TRUE),IF($L11="TER C",VLOOKUP(P11,TER!$K$5:$N$45,4,TRUE),0)))</f>
        <v>0</v>
      </c>
      <c r="R11" s="61">
        <f t="shared" si="1"/>
        <v>0</v>
      </c>
      <c r="S11" s="92">
        <f t="shared" si="2"/>
        <v>0</v>
      </c>
      <c r="T11" s="66">
        <f>IF($L11="TER A",VLOOKUP(P11,TER!$A$5:$D$48,4,TRUE),IF($L11="TER B",VLOOKUP(P11,TER!$F$5:$I$44,4,TRUE),IF($L11="TER C",VLOOKUP(P11,TER!$K$5:$N$45,4,TRUE),0)))</f>
        <v>0</v>
      </c>
      <c r="U11" s="98">
        <f t="shared" si="3"/>
        <v>0</v>
      </c>
      <c r="W11" s="118">
        <f>'Data Gaji'!BL11</f>
        <v>0</v>
      </c>
      <c r="X11" s="66">
        <f>IF($L11="TER A",VLOOKUP(W11,TER!$A$5:$D$48,4,TRUE),IF($L11="TER B",VLOOKUP(W11,TER!$F$5:$I$44,4,TRUE),IF($L11="TER C",VLOOKUP(W11,TER!$K$5:$N$45,4,TRUE),0)))</f>
        <v>0</v>
      </c>
      <c r="Y11" s="61">
        <f t="shared" si="4"/>
        <v>0</v>
      </c>
      <c r="Z11" s="92">
        <f t="shared" si="5"/>
        <v>0</v>
      </c>
      <c r="AA11" s="66">
        <f>IF($L11="TER A",VLOOKUP(W11,TER!$A$5:$D$48,4,TRUE),IF($L11="TER B",VLOOKUP(W11,TER!$F$5:$I$44,4,TRUE),IF($L11="TER C",VLOOKUP(W11,TER!$K$5:$N$45,4,TRUE),0)))</f>
        <v>0</v>
      </c>
      <c r="AB11" s="98">
        <f t="shared" si="6"/>
        <v>0</v>
      </c>
      <c r="AD11" s="118">
        <f>'Data Gaji'!CL11</f>
        <v>0</v>
      </c>
      <c r="AE11" s="66">
        <f>IF($L11="TER A",VLOOKUP(AD11,TER!$A$5:$D$48,4,TRUE),IF($L11="TER B",VLOOKUP(AD11,TER!$F$5:$I$44,4,TRUE),IF($L11="TER C",VLOOKUP(AD11,TER!$K$5:$N$45,4,TRUE),0)))</f>
        <v>0</v>
      </c>
      <c r="AF11" s="61">
        <f t="shared" si="7"/>
        <v>0</v>
      </c>
      <c r="AG11" s="92">
        <f t="shared" si="8"/>
        <v>0</v>
      </c>
      <c r="AH11" s="66">
        <f>IF($L11="TER A",VLOOKUP(AD11,TER!$A$5:$D$48,4,TRUE),IF($L11="TER B",VLOOKUP(AD11,TER!$F$5:$I$44,4,TRUE),IF($L11="TER C",VLOOKUP(AD11,TER!$K$5:$N$45,4,TRUE),0)))</f>
        <v>0</v>
      </c>
      <c r="AI11" s="98">
        <f t="shared" si="9"/>
        <v>0</v>
      </c>
      <c r="AK11" s="118">
        <f>'Data Gaji'!DL11</f>
        <v>0</v>
      </c>
      <c r="AL11" s="66">
        <f>IF($L11="TER A",VLOOKUP(AK11,TER!$A$5:$D$48,4,TRUE),IF($L11="TER B",VLOOKUP(AK11,TER!$F$5:$I$44,4,TRUE),IF($L11="TER C",VLOOKUP(AK11,TER!$K$5:$N$45,4,TRUE),0)))</f>
        <v>0</v>
      </c>
      <c r="AM11" s="61">
        <f t="shared" si="10"/>
        <v>0</v>
      </c>
      <c r="AN11" s="92">
        <f t="shared" si="11"/>
        <v>0</v>
      </c>
      <c r="AO11" s="66">
        <f>IF($L11="TER A",VLOOKUP(AK11,TER!$A$5:$D$48,4,TRUE),IF($L11="TER B",VLOOKUP(AK11,TER!$F$5:$I$44,4,TRUE),IF($L11="TER C",VLOOKUP(AK11,TER!$K$5:$N$45,4,TRUE),0)))</f>
        <v>0</v>
      </c>
      <c r="AP11" s="98">
        <f t="shared" si="12"/>
        <v>0</v>
      </c>
      <c r="AR11" s="118">
        <f>'Data Gaji'!EL11</f>
        <v>0</v>
      </c>
      <c r="AS11" s="66">
        <f>IF($L11="TER A",VLOOKUP(AR11,TER!$A$5:$D$48,4,TRUE),IF($L11="TER B",VLOOKUP(AR11,TER!$F$5:$I$44,4,TRUE),IF($L11="TER C",VLOOKUP(AR11,TER!$K$5:$N$45,4,TRUE),0)))</f>
        <v>0</v>
      </c>
      <c r="AT11" s="61">
        <f t="shared" si="13"/>
        <v>0</v>
      </c>
      <c r="AU11" s="92">
        <f t="shared" si="14"/>
        <v>0</v>
      </c>
      <c r="AV11" s="66">
        <f>IF($L11="TER A",VLOOKUP(AR11,TER!$A$5:$D$48,4,TRUE),IF($L11="TER B",VLOOKUP(AR11,TER!$F$5:$I$44,4,TRUE),IF($L11="TER C",VLOOKUP(AR11,TER!$K$5:$N$45,4,TRUE),0)))</f>
        <v>0</v>
      </c>
      <c r="AW11" s="98">
        <f t="shared" si="15"/>
        <v>0</v>
      </c>
      <c r="AY11" s="118">
        <f>'Data Gaji'!FL11</f>
        <v>0</v>
      </c>
      <c r="AZ11" s="66">
        <f>IF($L11="TER A",VLOOKUP(AY11,TER!$A$5:$D$48,4,TRUE),IF($L11="TER B",VLOOKUP(AY11,TER!$F$5:$I$44,4,TRUE),IF($L11="TER C",VLOOKUP(AY11,TER!$K$5:$N$45,4,TRUE),0)))</f>
        <v>0</v>
      </c>
      <c r="BA11" s="61">
        <f t="shared" si="16"/>
        <v>0</v>
      </c>
      <c r="BB11" s="92">
        <f t="shared" si="17"/>
        <v>0</v>
      </c>
      <c r="BC11" s="66">
        <f>IF($L11="TER A",VLOOKUP(AY11,TER!$A$5:$D$48,4,TRUE),IF($L11="TER B",VLOOKUP(AY11,TER!$F$5:$I$44,4,TRUE),IF($L11="TER C",VLOOKUP(AY11,TER!$K$5:$N$45,4,TRUE),0)))</f>
        <v>0</v>
      </c>
      <c r="BD11" s="98">
        <f t="shared" si="18"/>
        <v>0</v>
      </c>
      <c r="BF11" s="118">
        <f>'Data Gaji'!GL11</f>
        <v>0</v>
      </c>
      <c r="BG11" s="66">
        <f>IF($L11="TER A",VLOOKUP(BF11,TER!$A$5:$D$48,4,TRUE),IF($L11="TER B",VLOOKUP(BF11,TER!$F$5:$I$44,4,TRUE),IF($L11="TER C",VLOOKUP(BF11,TER!$K$5:$N$45,4,TRUE),0)))</f>
        <v>0</v>
      </c>
      <c r="BH11" s="61">
        <f t="shared" si="19"/>
        <v>0</v>
      </c>
      <c r="BI11" s="92">
        <f t="shared" si="20"/>
        <v>0</v>
      </c>
      <c r="BJ11" s="66">
        <f>IF($L11="TER A",VLOOKUP(BF11,TER!$A$5:$D$48,4,TRUE),IF($L11="TER B",VLOOKUP(BF11,TER!$F$5:$I$44,4,TRUE),IF($L11="TER C",VLOOKUP(BF11,TER!$K$5:$N$45,4,TRUE),0)))</f>
        <v>0</v>
      </c>
      <c r="BK11" s="98">
        <f t="shared" si="21"/>
        <v>0</v>
      </c>
      <c r="BM11" s="118">
        <f>'Data Gaji'!HL11</f>
        <v>0</v>
      </c>
      <c r="BN11" s="66">
        <f>IF($L11="TER A",VLOOKUP(BM11,TER!$A$5:$D$48,4,TRUE),IF($L11="TER B",VLOOKUP(BM11,TER!$F$5:$I$44,4,TRUE),IF($L11="TER C",VLOOKUP(BM11,TER!$K$5:$N$45,4,TRUE),0)))</f>
        <v>0</v>
      </c>
      <c r="BO11" s="61">
        <f t="shared" si="22"/>
        <v>0</v>
      </c>
      <c r="BP11" s="92">
        <f t="shared" si="23"/>
        <v>0</v>
      </c>
      <c r="BQ11" s="66">
        <f>IF($L11="TER A",VLOOKUP(BM11,TER!$A$5:$D$48,4,TRUE),IF($L11="TER B",VLOOKUP(BM11,TER!$F$5:$I$44,4,TRUE),IF($L11="TER C",VLOOKUP(BM11,TER!$K$5:$N$45,4,TRUE),0)))</f>
        <v>0</v>
      </c>
      <c r="BR11" s="98">
        <f t="shared" si="24"/>
        <v>0</v>
      </c>
      <c r="BT11" s="118">
        <f>'Data Gaji'!IL11</f>
        <v>0</v>
      </c>
      <c r="BU11" s="66">
        <f>IF($L11="TER A",VLOOKUP(BT11,TER!$A$5:$D$48,4,TRUE),IF($L11="TER B",VLOOKUP(BT11,TER!$F$5:$I$44,4,TRUE),IF($L11="TER C",VLOOKUP(BT11,TER!$K$5:$N$45,4,TRUE),0)))</f>
        <v>0</v>
      </c>
      <c r="BV11" s="61">
        <f t="shared" si="25"/>
        <v>0</v>
      </c>
      <c r="BW11" s="92">
        <f t="shared" si="26"/>
        <v>0</v>
      </c>
      <c r="BX11" s="66">
        <f>IF($L11="TER A",VLOOKUP(BT11,TER!$A$5:$D$48,4,TRUE),IF($L11="TER B",VLOOKUP(BT11,TER!$F$5:$I$44,4,TRUE),IF($L11="TER C",VLOOKUP(BT11,TER!$K$5:$N$45,4,TRUE),0)))</f>
        <v>0</v>
      </c>
      <c r="BY11" s="98">
        <f t="shared" si="27"/>
        <v>0</v>
      </c>
      <c r="CA11" s="118">
        <f>'Data Gaji'!JL11</f>
        <v>0</v>
      </c>
      <c r="CB11" s="66">
        <f>IF($L11="TER A",VLOOKUP(CA11,TER!$A$5:$D$48,4,TRUE),IF($L11="TER B",VLOOKUP(CA11,TER!$F$5:$I$44,4,TRUE),IF($L11="TER C",VLOOKUP(CA11,TER!$K$5:$N$45,4,TRUE),0)))</f>
        <v>0</v>
      </c>
      <c r="CC11" s="61">
        <f t="shared" si="28"/>
        <v>0</v>
      </c>
      <c r="CD11" s="92">
        <f t="shared" si="29"/>
        <v>0</v>
      </c>
      <c r="CE11" s="66">
        <f>IF($L11="TER A",VLOOKUP(CA11,TER!$A$5:$D$48,4,TRUE),IF($L11="TER B",VLOOKUP(CA11,TER!$F$5:$I$44,4,TRUE),IF($L11="TER C",VLOOKUP(CA11,TER!$K$5:$N$45,4,TRUE),0)))</f>
        <v>0</v>
      </c>
      <c r="CF11" s="98">
        <f t="shared" si="30"/>
        <v>0</v>
      </c>
      <c r="CH11" s="118">
        <f>'Data Gaji'!KL11</f>
        <v>0</v>
      </c>
      <c r="CI11" s="66">
        <f>IF($L11="TER A",VLOOKUP(CH11,TER!$A$5:$D$48,4,TRUE),IF($L11="TER B",VLOOKUP(CH11,TER!$F$5:$I$44,4,TRUE),IF($L11="TER C",VLOOKUP(CH11,TER!$K$5:$N$45,4,TRUE),0)))</f>
        <v>0</v>
      </c>
      <c r="CJ11" s="61">
        <f t="shared" si="31"/>
        <v>0</v>
      </c>
      <c r="CK11" s="92">
        <f t="shared" si="32"/>
        <v>0</v>
      </c>
      <c r="CL11" s="66">
        <f>IF($L11="TER A",VLOOKUP(CH11,TER!$A$5:$D$48,4,TRUE),IF($L11="TER B",VLOOKUP(CH11,TER!$F$5:$I$44,4,TRUE),IF($L11="TER C",VLOOKUP(CH11,TER!$K$5:$N$45,4,TRUE),0)))</f>
        <v>0</v>
      </c>
      <c r="CM11" s="98">
        <f t="shared" si="33"/>
        <v>0</v>
      </c>
      <c r="CO11" s="118">
        <f>'Data Gaji'!LL11</f>
        <v>0</v>
      </c>
      <c r="CP11" s="66">
        <f>IF($L11="TER A",VLOOKUP(CO11,TER!$A$5:$D$48,4,TRUE),IF($L11="TER B",VLOOKUP(CO11,TER!$F$5:$I$44,4,TRUE),IF($L11="TER C",VLOOKUP(CO11,TER!$K$5:$N$45,4,TRUE),0)))</f>
        <v>0</v>
      </c>
      <c r="CQ11" s="61">
        <f t="shared" si="34"/>
        <v>0</v>
      </c>
      <c r="CR11" s="92">
        <f t="shared" si="35"/>
        <v>0</v>
      </c>
      <c r="CS11" s="66">
        <f>IF($L11="TER A",VLOOKUP(CO11,TER!$A$5:$D$48,4,TRUE),IF($L11="TER B",VLOOKUP(CO11,TER!$F$5:$I$44,4,TRUE),IF($L11="TER C",VLOOKUP(CO11,TER!$K$5:$N$45,4,TRUE),0)))</f>
        <v>0</v>
      </c>
      <c r="CT11" s="98">
        <f t="shared" si="36"/>
        <v>0</v>
      </c>
    </row>
    <row r="12" spans="1:98" customFormat="1" ht="15" customHeight="1" x14ac:dyDescent="0.35">
      <c r="A12" s="52">
        <f t="shared" si="0"/>
        <v>6</v>
      </c>
      <c r="B12" s="53"/>
      <c r="C12" s="73"/>
      <c r="D12" s="55"/>
      <c r="E12" s="281"/>
      <c r="F12" s="272"/>
      <c r="G12" s="277"/>
      <c r="H12" s="272"/>
      <c r="I12" s="272"/>
      <c r="J12" s="54"/>
      <c r="K12" s="272">
        <f>'Data Gaji'!K12</f>
        <v>0</v>
      </c>
      <c r="L12" s="67" t="str">
        <f>IF(ISNA(VLOOKUP(K12,'PTKP &amp; TARIF'!$D$4:$E$11,2,0)),"",VLOOKUP(K12,'PTKP &amp; TARIF'!$D$4:$E$11,2,0))</f>
        <v/>
      </c>
      <c r="M12" s="9">
        <v>26</v>
      </c>
      <c r="N12" s="9">
        <v>26</v>
      </c>
      <c r="O12" s="115" t="s">
        <v>92</v>
      </c>
      <c r="P12" s="118">
        <f>'Data Gaji'!AL12</f>
        <v>0</v>
      </c>
      <c r="Q12" s="66">
        <f>IF($L12="TER A",VLOOKUP(P12,TER!$A$5:$D$48,4,TRUE),IF($L12="TER B",VLOOKUP(P12,TER!$F$5:$I$44,4,TRUE),IF($L12="TER C",VLOOKUP(P12,TER!$K$5:$N$45,4,TRUE),0)))</f>
        <v>0</v>
      </c>
      <c r="R12" s="61">
        <f t="shared" si="1"/>
        <v>0</v>
      </c>
      <c r="S12" s="92">
        <f t="shared" si="2"/>
        <v>0</v>
      </c>
      <c r="T12" s="66">
        <f>IF($L12="TER A",VLOOKUP(P12,TER!$A$5:$D$48,4,TRUE),IF($L12="TER B",VLOOKUP(P12,TER!$F$5:$I$44,4,TRUE),IF($L12="TER C",VLOOKUP(P12,TER!$K$5:$N$45,4,TRUE),0)))</f>
        <v>0</v>
      </c>
      <c r="U12" s="98">
        <f t="shared" si="3"/>
        <v>0</v>
      </c>
      <c r="W12" s="118">
        <f>'Data Gaji'!BL12</f>
        <v>0</v>
      </c>
      <c r="X12" s="66">
        <f>IF($L12="TER A",VLOOKUP(W12,TER!$A$5:$D$48,4,TRUE),IF($L12="TER B",VLOOKUP(W12,TER!$F$5:$I$44,4,TRUE),IF($L12="TER C",VLOOKUP(W12,TER!$K$5:$N$45,4,TRUE),0)))</f>
        <v>0</v>
      </c>
      <c r="Y12" s="61">
        <f t="shared" si="4"/>
        <v>0</v>
      </c>
      <c r="Z12" s="92">
        <f t="shared" si="5"/>
        <v>0</v>
      </c>
      <c r="AA12" s="66">
        <f>IF($L12="TER A",VLOOKUP(W12,TER!$A$5:$D$48,4,TRUE),IF($L12="TER B",VLOOKUP(W12,TER!$F$5:$I$44,4,TRUE),IF($L12="TER C",VLOOKUP(W12,TER!$K$5:$N$45,4,TRUE),0)))</f>
        <v>0</v>
      </c>
      <c r="AB12" s="98">
        <f t="shared" si="6"/>
        <v>0</v>
      </c>
      <c r="AD12" s="118">
        <f>'Data Gaji'!CL12</f>
        <v>0</v>
      </c>
      <c r="AE12" s="66">
        <f>IF($L12="TER A",VLOOKUP(AD12,TER!$A$5:$D$48,4,TRUE),IF($L12="TER B",VLOOKUP(AD12,TER!$F$5:$I$44,4,TRUE),IF($L12="TER C",VLOOKUP(AD12,TER!$K$5:$N$45,4,TRUE),0)))</f>
        <v>0</v>
      </c>
      <c r="AF12" s="61">
        <f t="shared" si="7"/>
        <v>0</v>
      </c>
      <c r="AG12" s="92">
        <f t="shared" si="8"/>
        <v>0</v>
      </c>
      <c r="AH12" s="66">
        <f>IF($L12="TER A",VLOOKUP(AD12,TER!$A$5:$D$48,4,TRUE),IF($L12="TER B",VLOOKUP(AD12,TER!$F$5:$I$44,4,TRUE),IF($L12="TER C",VLOOKUP(AD12,TER!$K$5:$N$45,4,TRUE),0)))</f>
        <v>0</v>
      </c>
      <c r="AI12" s="98">
        <f t="shared" si="9"/>
        <v>0</v>
      </c>
      <c r="AK12" s="118">
        <f>'Data Gaji'!DL12</f>
        <v>0</v>
      </c>
      <c r="AL12" s="66">
        <f>IF($L12="TER A",VLOOKUP(AK12,TER!$A$5:$D$48,4,TRUE),IF($L12="TER B",VLOOKUP(AK12,TER!$F$5:$I$44,4,TRUE),IF($L12="TER C",VLOOKUP(AK12,TER!$K$5:$N$45,4,TRUE),0)))</f>
        <v>0</v>
      </c>
      <c r="AM12" s="61">
        <f t="shared" si="10"/>
        <v>0</v>
      </c>
      <c r="AN12" s="92">
        <f t="shared" si="11"/>
        <v>0</v>
      </c>
      <c r="AO12" s="66">
        <f>IF($L12="TER A",VLOOKUP(AK12,TER!$A$5:$D$48,4,TRUE),IF($L12="TER B",VLOOKUP(AK12,TER!$F$5:$I$44,4,TRUE),IF($L12="TER C",VLOOKUP(AK12,TER!$K$5:$N$45,4,TRUE),0)))</f>
        <v>0</v>
      </c>
      <c r="AP12" s="98">
        <f t="shared" si="12"/>
        <v>0</v>
      </c>
      <c r="AR12" s="118">
        <f>'Data Gaji'!EL12</f>
        <v>0</v>
      </c>
      <c r="AS12" s="66">
        <f>IF($L12="TER A",VLOOKUP(AR12,TER!$A$5:$D$48,4,TRUE),IF($L12="TER B",VLOOKUP(AR12,TER!$F$5:$I$44,4,TRUE),IF($L12="TER C",VLOOKUP(AR12,TER!$K$5:$N$45,4,TRUE),0)))</f>
        <v>0</v>
      </c>
      <c r="AT12" s="61">
        <f t="shared" si="13"/>
        <v>0</v>
      </c>
      <c r="AU12" s="92">
        <f t="shared" si="14"/>
        <v>0</v>
      </c>
      <c r="AV12" s="66">
        <f>IF($L12="TER A",VLOOKUP(AR12,TER!$A$5:$D$48,4,TRUE),IF($L12="TER B",VLOOKUP(AR12,TER!$F$5:$I$44,4,TRUE),IF($L12="TER C",VLOOKUP(AR12,TER!$K$5:$N$45,4,TRUE),0)))</f>
        <v>0</v>
      </c>
      <c r="AW12" s="98">
        <f t="shared" si="15"/>
        <v>0</v>
      </c>
      <c r="AY12" s="118">
        <f>'Data Gaji'!FL12</f>
        <v>0</v>
      </c>
      <c r="AZ12" s="66">
        <f>IF($L12="TER A",VLOOKUP(AY12,TER!$A$5:$D$48,4,TRUE),IF($L12="TER B",VLOOKUP(AY12,TER!$F$5:$I$44,4,TRUE),IF($L12="TER C",VLOOKUP(AY12,TER!$K$5:$N$45,4,TRUE),0)))</f>
        <v>0</v>
      </c>
      <c r="BA12" s="61">
        <f t="shared" si="16"/>
        <v>0</v>
      </c>
      <c r="BB12" s="92">
        <f t="shared" si="17"/>
        <v>0</v>
      </c>
      <c r="BC12" s="66">
        <f>IF($L12="TER A",VLOOKUP(AY12,TER!$A$5:$D$48,4,TRUE),IF($L12="TER B",VLOOKUP(AY12,TER!$F$5:$I$44,4,TRUE),IF($L12="TER C",VLOOKUP(AY12,TER!$K$5:$N$45,4,TRUE),0)))</f>
        <v>0</v>
      </c>
      <c r="BD12" s="98">
        <f t="shared" si="18"/>
        <v>0</v>
      </c>
      <c r="BF12" s="118">
        <f>'Data Gaji'!GL12</f>
        <v>0</v>
      </c>
      <c r="BG12" s="66">
        <f>IF($L12="TER A",VLOOKUP(BF12,TER!$A$5:$D$48,4,TRUE),IF($L12="TER B",VLOOKUP(BF12,TER!$F$5:$I$44,4,TRUE),IF($L12="TER C",VLOOKUP(BF12,TER!$K$5:$N$45,4,TRUE),0)))</f>
        <v>0</v>
      </c>
      <c r="BH12" s="61">
        <f t="shared" si="19"/>
        <v>0</v>
      </c>
      <c r="BI12" s="92">
        <f t="shared" si="20"/>
        <v>0</v>
      </c>
      <c r="BJ12" s="66">
        <f>IF($L12="TER A",VLOOKUP(BF12,TER!$A$5:$D$48,4,TRUE),IF($L12="TER B",VLOOKUP(BF12,TER!$F$5:$I$44,4,TRUE),IF($L12="TER C",VLOOKUP(BF12,TER!$K$5:$N$45,4,TRUE),0)))</f>
        <v>0</v>
      </c>
      <c r="BK12" s="98">
        <f t="shared" si="21"/>
        <v>0</v>
      </c>
      <c r="BM12" s="118">
        <f>'Data Gaji'!HL12</f>
        <v>0</v>
      </c>
      <c r="BN12" s="66">
        <f>IF($L12="TER A",VLOOKUP(BM12,TER!$A$5:$D$48,4,TRUE),IF($L12="TER B",VLOOKUP(BM12,TER!$F$5:$I$44,4,TRUE),IF($L12="TER C",VLOOKUP(BM12,TER!$K$5:$N$45,4,TRUE),0)))</f>
        <v>0</v>
      </c>
      <c r="BO12" s="61">
        <f t="shared" si="22"/>
        <v>0</v>
      </c>
      <c r="BP12" s="92">
        <f t="shared" si="23"/>
        <v>0</v>
      </c>
      <c r="BQ12" s="66">
        <f>IF($L12="TER A",VLOOKUP(BM12,TER!$A$5:$D$48,4,TRUE),IF($L12="TER B",VLOOKUP(BM12,TER!$F$5:$I$44,4,TRUE),IF($L12="TER C",VLOOKUP(BM12,TER!$K$5:$N$45,4,TRUE),0)))</f>
        <v>0</v>
      </c>
      <c r="BR12" s="98">
        <f t="shared" si="24"/>
        <v>0</v>
      </c>
      <c r="BT12" s="118">
        <f>'Data Gaji'!IL12</f>
        <v>0</v>
      </c>
      <c r="BU12" s="66">
        <f>IF($L12="TER A",VLOOKUP(BT12,TER!$A$5:$D$48,4,TRUE),IF($L12="TER B",VLOOKUP(BT12,TER!$F$5:$I$44,4,TRUE),IF($L12="TER C",VLOOKUP(BT12,TER!$K$5:$N$45,4,TRUE),0)))</f>
        <v>0</v>
      </c>
      <c r="BV12" s="61">
        <f t="shared" si="25"/>
        <v>0</v>
      </c>
      <c r="BW12" s="92">
        <f t="shared" si="26"/>
        <v>0</v>
      </c>
      <c r="BX12" s="66">
        <f>IF($L12="TER A",VLOOKUP(BT12,TER!$A$5:$D$48,4,TRUE),IF($L12="TER B",VLOOKUP(BT12,TER!$F$5:$I$44,4,TRUE),IF($L12="TER C",VLOOKUP(BT12,TER!$K$5:$N$45,4,TRUE),0)))</f>
        <v>0</v>
      </c>
      <c r="BY12" s="98">
        <f t="shared" si="27"/>
        <v>0</v>
      </c>
      <c r="CA12" s="118">
        <f>'Data Gaji'!JL12</f>
        <v>0</v>
      </c>
      <c r="CB12" s="66">
        <f>IF($L12="TER A",VLOOKUP(CA12,TER!$A$5:$D$48,4,TRUE),IF($L12="TER B",VLOOKUP(CA12,TER!$F$5:$I$44,4,TRUE),IF($L12="TER C",VLOOKUP(CA12,TER!$K$5:$N$45,4,TRUE),0)))</f>
        <v>0</v>
      </c>
      <c r="CC12" s="61">
        <f t="shared" si="28"/>
        <v>0</v>
      </c>
      <c r="CD12" s="92">
        <f t="shared" si="29"/>
        <v>0</v>
      </c>
      <c r="CE12" s="66">
        <f>IF($L12="TER A",VLOOKUP(CA12,TER!$A$5:$D$48,4,TRUE),IF($L12="TER B",VLOOKUP(CA12,TER!$F$5:$I$44,4,TRUE),IF($L12="TER C",VLOOKUP(CA12,TER!$K$5:$N$45,4,TRUE),0)))</f>
        <v>0</v>
      </c>
      <c r="CF12" s="98">
        <f t="shared" si="30"/>
        <v>0</v>
      </c>
      <c r="CH12" s="118">
        <f>'Data Gaji'!KL12</f>
        <v>0</v>
      </c>
      <c r="CI12" s="66">
        <f>IF($L12="TER A",VLOOKUP(CH12,TER!$A$5:$D$48,4,TRUE),IF($L12="TER B",VLOOKUP(CH12,TER!$F$5:$I$44,4,TRUE),IF($L12="TER C",VLOOKUP(CH12,TER!$K$5:$N$45,4,TRUE),0)))</f>
        <v>0</v>
      </c>
      <c r="CJ12" s="61">
        <f t="shared" si="31"/>
        <v>0</v>
      </c>
      <c r="CK12" s="92">
        <f t="shared" si="32"/>
        <v>0</v>
      </c>
      <c r="CL12" s="66">
        <f>IF($L12="TER A",VLOOKUP(CH12,TER!$A$5:$D$48,4,TRUE),IF($L12="TER B",VLOOKUP(CH12,TER!$F$5:$I$44,4,TRUE),IF($L12="TER C",VLOOKUP(CH12,TER!$K$5:$N$45,4,TRUE),0)))</f>
        <v>0</v>
      </c>
      <c r="CM12" s="98">
        <f t="shared" si="33"/>
        <v>0</v>
      </c>
      <c r="CO12" s="118">
        <f>'Data Gaji'!LL12</f>
        <v>0</v>
      </c>
      <c r="CP12" s="66">
        <f>IF($L12="TER A",VLOOKUP(CO12,TER!$A$5:$D$48,4,TRUE),IF($L12="TER B",VLOOKUP(CO12,TER!$F$5:$I$44,4,TRUE),IF($L12="TER C",VLOOKUP(CO12,TER!$K$5:$N$45,4,TRUE),0)))</f>
        <v>0</v>
      </c>
      <c r="CQ12" s="61">
        <f t="shared" si="34"/>
        <v>0</v>
      </c>
      <c r="CR12" s="92">
        <f t="shared" si="35"/>
        <v>0</v>
      </c>
      <c r="CS12" s="66">
        <f>IF($L12="TER A",VLOOKUP(CO12,TER!$A$5:$D$48,4,TRUE),IF($L12="TER B",VLOOKUP(CO12,TER!$F$5:$I$44,4,TRUE),IF($L12="TER C",VLOOKUP(CO12,TER!$K$5:$N$45,4,TRUE),0)))</f>
        <v>0</v>
      </c>
      <c r="CT12" s="98">
        <f t="shared" si="36"/>
        <v>0</v>
      </c>
    </row>
    <row r="13" spans="1:98" customFormat="1" ht="15" customHeight="1" x14ac:dyDescent="0.35">
      <c r="A13" s="52">
        <f t="shared" si="0"/>
        <v>7</v>
      </c>
      <c r="B13" s="53"/>
      <c r="C13" s="73"/>
      <c r="D13" s="55"/>
      <c r="E13" s="281"/>
      <c r="F13" s="272"/>
      <c r="G13" s="277"/>
      <c r="H13" s="272"/>
      <c r="I13" s="272"/>
      <c r="J13" s="54"/>
      <c r="K13" s="272">
        <f>'Data Gaji'!K13</f>
        <v>0</v>
      </c>
      <c r="L13" s="67" t="str">
        <f>IF(ISNA(VLOOKUP(K13,'PTKP &amp; TARIF'!$D$4:$E$11,2,0)),"",VLOOKUP(K13,'PTKP &amp; TARIF'!$D$4:$E$11,2,0))</f>
        <v/>
      </c>
      <c r="M13" s="9">
        <v>26</v>
      </c>
      <c r="N13" s="9">
        <v>26</v>
      </c>
      <c r="O13" s="115" t="s">
        <v>92</v>
      </c>
      <c r="P13" s="118">
        <f>'Data Gaji'!AL13</f>
        <v>0</v>
      </c>
      <c r="Q13" s="66">
        <f>IF($L13="TER A",VLOOKUP(P13,TER!$A$5:$D$48,4,TRUE),IF($L13="TER B",VLOOKUP(P13,TER!$F$5:$I$44,4,TRUE),IF($L13="TER C",VLOOKUP(P13,TER!$K$5:$N$45,4,TRUE),0)))</f>
        <v>0</v>
      </c>
      <c r="R13" s="61">
        <f t="shared" si="1"/>
        <v>0</v>
      </c>
      <c r="S13" s="92">
        <f t="shared" si="2"/>
        <v>0</v>
      </c>
      <c r="T13" s="66">
        <f>IF($L13="TER A",VLOOKUP(P13,TER!$A$5:$D$48,4,TRUE),IF($L13="TER B",VLOOKUP(P13,TER!$F$5:$I$44,4,TRUE),IF($L13="TER C",VLOOKUP(P13,TER!$K$5:$N$45,4,TRUE),0)))</f>
        <v>0</v>
      </c>
      <c r="U13" s="98">
        <f t="shared" si="3"/>
        <v>0</v>
      </c>
      <c r="W13" s="118">
        <f>'Data Gaji'!BL13</f>
        <v>0</v>
      </c>
      <c r="X13" s="66">
        <f>IF($L13="TER A",VLOOKUP(W13,TER!$A$5:$D$48,4,TRUE),IF($L13="TER B",VLOOKUP(W13,TER!$F$5:$I$44,4,TRUE),IF($L13="TER C",VLOOKUP(W13,TER!$K$5:$N$45,4,TRUE),0)))</f>
        <v>0</v>
      </c>
      <c r="Y13" s="61">
        <f t="shared" si="4"/>
        <v>0</v>
      </c>
      <c r="Z13" s="92">
        <f t="shared" si="5"/>
        <v>0</v>
      </c>
      <c r="AA13" s="66">
        <f>IF($L13="TER A",VLOOKUP(W13,TER!$A$5:$D$48,4,TRUE),IF($L13="TER B",VLOOKUP(W13,TER!$F$5:$I$44,4,TRUE),IF($L13="TER C",VLOOKUP(W13,TER!$K$5:$N$45,4,TRUE),0)))</f>
        <v>0</v>
      </c>
      <c r="AB13" s="98">
        <f t="shared" si="6"/>
        <v>0</v>
      </c>
      <c r="AD13" s="118">
        <f>'Data Gaji'!CL13</f>
        <v>0</v>
      </c>
      <c r="AE13" s="66">
        <f>IF($L13="TER A",VLOOKUP(AD13,TER!$A$5:$D$48,4,TRUE),IF($L13="TER B",VLOOKUP(AD13,TER!$F$5:$I$44,4,TRUE),IF($L13="TER C",VLOOKUP(AD13,TER!$K$5:$N$45,4,TRUE),0)))</f>
        <v>0</v>
      </c>
      <c r="AF13" s="61">
        <f t="shared" si="7"/>
        <v>0</v>
      </c>
      <c r="AG13" s="92">
        <f t="shared" si="8"/>
        <v>0</v>
      </c>
      <c r="AH13" s="66">
        <f>IF($L13="TER A",VLOOKUP(AD13,TER!$A$5:$D$48,4,TRUE),IF($L13="TER B",VLOOKUP(AD13,TER!$F$5:$I$44,4,TRUE),IF($L13="TER C",VLOOKUP(AD13,TER!$K$5:$N$45,4,TRUE),0)))</f>
        <v>0</v>
      </c>
      <c r="AI13" s="98">
        <f t="shared" si="9"/>
        <v>0</v>
      </c>
      <c r="AK13" s="118">
        <f>'Data Gaji'!DL13</f>
        <v>0</v>
      </c>
      <c r="AL13" s="66">
        <f>IF($L13="TER A",VLOOKUP(AK13,TER!$A$5:$D$48,4,TRUE),IF($L13="TER B",VLOOKUP(AK13,TER!$F$5:$I$44,4,TRUE),IF($L13="TER C",VLOOKUP(AK13,TER!$K$5:$N$45,4,TRUE),0)))</f>
        <v>0</v>
      </c>
      <c r="AM13" s="61">
        <f t="shared" si="10"/>
        <v>0</v>
      </c>
      <c r="AN13" s="92">
        <f t="shared" si="11"/>
        <v>0</v>
      </c>
      <c r="AO13" s="66">
        <f>IF($L13="TER A",VLOOKUP(AK13,TER!$A$5:$D$48,4,TRUE),IF($L13="TER B",VLOOKUP(AK13,TER!$F$5:$I$44,4,TRUE),IF($L13="TER C",VLOOKUP(AK13,TER!$K$5:$N$45,4,TRUE),0)))</f>
        <v>0</v>
      </c>
      <c r="AP13" s="98">
        <f t="shared" si="12"/>
        <v>0</v>
      </c>
      <c r="AR13" s="118">
        <f>'Data Gaji'!EL13</f>
        <v>0</v>
      </c>
      <c r="AS13" s="66">
        <f>IF($L13="TER A",VLOOKUP(AR13,TER!$A$5:$D$48,4,TRUE),IF($L13="TER B",VLOOKUP(AR13,TER!$F$5:$I$44,4,TRUE),IF($L13="TER C",VLOOKUP(AR13,TER!$K$5:$N$45,4,TRUE),0)))</f>
        <v>0</v>
      </c>
      <c r="AT13" s="61">
        <f t="shared" si="13"/>
        <v>0</v>
      </c>
      <c r="AU13" s="92">
        <f t="shared" si="14"/>
        <v>0</v>
      </c>
      <c r="AV13" s="66">
        <f>IF($L13="TER A",VLOOKUP(AR13,TER!$A$5:$D$48,4,TRUE),IF($L13="TER B",VLOOKUP(AR13,TER!$F$5:$I$44,4,TRUE),IF($L13="TER C",VLOOKUP(AR13,TER!$K$5:$N$45,4,TRUE),0)))</f>
        <v>0</v>
      </c>
      <c r="AW13" s="98">
        <f t="shared" si="15"/>
        <v>0</v>
      </c>
      <c r="AY13" s="118">
        <f>'Data Gaji'!FL13</f>
        <v>0</v>
      </c>
      <c r="AZ13" s="66">
        <f>IF($L13="TER A",VLOOKUP(AY13,TER!$A$5:$D$48,4,TRUE),IF($L13="TER B",VLOOKUP(AY13,TER!$F$5:$I$44,4,TRUE),IF($L13="TER C",VLOOKUP(AY13,TER!$K$5:$N$45,4,TRUE),0)))</f>
        <v>0</v>
      </c>
      <c r="BA13" s="61">
        <f t="shared" si="16"/>
        <v>0</v>
      </c>
      <c r="BB13" s="92">
        <f t="shared" si="17"/>
        <v>0</v>
      </c>
      <c r="BC13" s="66">
        <f>IF($L13="TER A",VLOOKUP(AY13,TER!$A$5:$D$48,4,TRUE),IF($L13="TER B",VLOOKUP(AY13,TER!$F$5:$I$44,4,TRUE),IF($L13="TER C",VLOOKUP(AY13,TER!$K$5:$N$45,4,TRUE),0)))</f>
        <v>0</v>
      </c>
      <c r="BD13" s="98">
        <f t="shared" si="18"/>
        <v>0</v>
      </c>
      <c r="BF13" s="118">
        <f>'Data Gaji'!GL13</f>
        <v>0</v>
      </c>
      <c r="BG13" s="66">
        <f>IF($L13="TER A",VLOOKUP(BF13,TER!$A$5:$D$48,4,TRUE),IF($L13="TER B",VLOOKUP(BF13,TER!$F$5:$I$44,4,TRUE),IF($L13="TER C",VLOOKUP(BF13,TER!$K$5:$N$45,4,TRUE),0)))</f>
        <v>0</v>
      </c>
      <c r="BH13" s="61">
        <f t="shared" si="19"/>
        <v>0</v>
      </c>
      <c r="BI13" s="92">
        <f t="shared" si="20"/>
        <v>0</v>
      </c>
      <c r="BJ13" s="66">
        <f>IF($L13="TER A",VLOOKUP(BF13,TER!$A$5:$D$48,4,TRUE),IF($L13="TER B",VLOOKUP(BF13,TER!$F$5:$I$44,4,TRUE),IF($L13="TER C",VLOOKUP(BF13,TER!$K$5:$N$45,4,TRUE),0)))</f>
        <v>0</v>
      </c>
      <c r="BK13" s="98">
        <f t="shared" si="21"/>
        <v>0</v>
      </c>
      <c r="BM13" s="118">
        <f>'Data Gaji'!HL13</f>
        <v>0</v>
      </c>
      <c r="BN13" s="66">
        <f>IF($L13="TER A",VLOOKUP(BM13,TER!$A$5:$D$48,4,TRUE),IF($L13="TER B",VLOOKUP(BM13,TER!$F$5:$I$44,4,TRUE),IF($L13="TER C",VLOOKUP(BM13,TER!$K$5:$N$45,4,TRUE),0)))</f>
        <v>0</v>
      </c>
      <c r="BO13" s="61">
        <f t="shared" si="22"/>
        <v>0</v>
      </c>
      <c r="BP13" s="92">
        <f t="shared" si="23"/>
        <v>0</v>
      </c>
      <c r="BQ13" s="66">
        <f>IF($L13="TER A",VLOOKUP(BM13,TER!$A$5:$D$48,4,TRUE),IF($L13="TER B",VLOOKUP(BM13,TER!$F$5:$I$44,4,TRUE),IF($L13="TER C",VLOOKUP(BM13,TER!$K$5:$N$45,4,TRUE),0)))</f>
        <v>0</v>
      </c>
      <c r="BR13" s="98">
        <f t="shared" si="24"/>
        <v>0</v>
      </c>
      <c r="BT13" s="118">
        <f>'Data Gaji'!IL13</f>
        <v>0</v>
      </c>
      <c r="BU13" s="66">
        <f>IF($L13="TER A",VLOOKUP(BT13,TER!$A$5:$D$48,4,TRUE),IF($L13="TER B",VLOOKUP(BT13,TER!$F$5:$I$44,4,TRUE),IF($L13="TER C",VLOOKUP(BT13,TER!$K$5:$N$45,4,TRUE),0)))</f>
        <v>0</v>
      </c>
      <c r="BV13" s="61">
        <f t="shared" si="25"/>
        <v>0</v>
      </c>
      <c r="BW13" s="92">
        <f t="shared" si="26"/>
        <v>0</v>
      </c>
      <c r="BX13" s="66">
        <f>IF($L13="TER A",VLOOKUP(BT13,TER!$A$5:$D$48,4,TRUE),IF($L13="TER B",VLOOKUP(BT13,TER!$F$5:$I$44,4,TRUE),IF($L13="TER C",VLOOKUP(BT13,TER!$K$5:$N$45,4,TRUE),0)))</f>
        <v>0</v>
      </c>
      <c r="BY13" s="98">
        <f t="shared" si="27"/>
        <v>0</v>
      </c>
      <c r="CA13" s="118">
        <f>'Data Gaji'!JL13</f>
        <v>0</v>
      </c>
      <c r="CB13" s="66">
        <f>IF($L13="TER A",VLOOKUP(CA13,TER!$A$5:$D$48,4,TRUE),IF($L13="TER B",VLOOKUP(CA13,TER!$F$5:$I$44,4,TRUE),IF($L13="TER C",VLOOKUP(CA13,TER!$K$5:$N$45,4,TRUE),0)))</f>
        <v>0</v>
      </c>
      <c r="CC13" s="61">
        <f t="shared" si="28"/>
        <v>0</v>
      </c>
      <c r="CD13" s="92">
        <f t="shared" si="29"/>
        <v>0</v>
      </c>
      <c r="CE13" s="66">
        <f>IF($L13="TER A",VLOOKUP(CA13,TER!$A$5:$D$48,4,TRUE),IF($L13="TER B",VLOOKUP(CA13,TER!$F$5:$I$44,4,TRUE),IF($L13="TER C",VLOOKUP(CA13,TER!$K$5:$N$45,4,TRUE),0)))</f>
        <v>0</v>
      </c>
      <c r="CF13" s="98">
        <f t="shared" si="30"/>
        <v>0</v>
      </c>
      <c r="CH13" s="118">
        <f>'Data Gaji'!KL13</f>
        <v>0</v>
      </c>
      <c r="CI13" s="66">
        <f>IF($L13="TER A",VLOOKUP(CH13,TER!$A$5:$D$48,4,TRUE),IF($L13="TER B",VLOOKUP(CH13,TER!$F$5:$I$44,4,TRUE),IF($L13="TER C",VLOOKUP(CH13,TER!$K$5:$N$45,4,TRUE),0)))</f>
        <v>0</v>
      </c>
      <c r="CJ13" s="61">
        <f t="shared" si="31"/>
        <v>0</v>
      </c>
      <c r="CK13" s="92">
        <f t="shared" si="32"/>
        <v>0</v>
      </c>
      <c r="CL13" s="66">
        <f>IF($L13="TER A",VLOOKUP(CH13,TER!$A$5:$D$48,4,TRUE),IF($L13="TER B",VLOOKUP(CH13,TER!$F$5:$I$44,4,TRUE),IF($L13="TER C",VLOOKUP(CH13,TER!$K$5:$N$45,4,TRUE),0)))</f>
        <v>0</v>
      </c>
      <c r="CM13" s="98">
        <f t="shared" si="33"/>
        <v>0</v>
      </c>
      <c r="CO13" s="118">
        <f>'Data Gaji'!LL13</f>
        <v>0</v>
      </c>
      <c r="CP13" s="66">
        <f>IF($L13="TER A",VLOOKUP(CO13,TER!$A$5:$D$48,4,TRUE),IF($L13="TER B",VLOOKUP(CO13,TER!$F$5:$I$44,4,TRUE),IF($L13="TER C",VLOOKUP(CO13,TER!$K$5:$N$45,4,TRUE),0)))</f>
        <v>0</v>
      </c>
      <c r="CQ13" s="61">
        <f t="shared" si="34"/>
        <v>0</v>
      </c>
      <c r="CR13" s="92">
        <f t="shared" si="35"/>
        <v>0</v>
      </c>
      <c r="CS13" s="66">
        <f>IF($L13="TER A",VLOOKUP(CO13,TER!$A$5:$D$48,4,TRUE),IF($L13="TER B",VLOOKUP(CO13,TER!$F$5:$I$44,4,TRUE),IF($L13="TER C",VLOOKUP(CO13,TER!$K$5:$N$45,4,TRUE),0)))</f>
        <v>0</v>
      </c>
      <c r="CT13" s="98">
        <f t="shared" si="36"/>
        <v>0</v>
      </c>
    </row>
    <row r="14" spans="1:98" customFormat="1" ht="15" customHeight="1" x14ac:dyDescent="0.35">
      <c r="A14" s="52">
        <f t="shared" si="0"/>
        <v>8</v>
      </c>
      <c r="B14" s="53"/>
      <c r="C14" s="73"/>
      <c r="D14" s="55"/>
      <c r="E14" s="281"/>
      <c r="F14" s="272"/>
      <c r="G14" s="277"/>
      <c r="H14" s="272"/>
      <c r="I14" s="272"/>
      <c r="J14" s="54"/>
      <c r="K14" s="272">
        <f>'Data Gaji'!K14</f>
        <v>0</v>
      </c>
      <c r="L14" s="67" t="str">
        <f>IF(ISNA(VLOOKUP(K14,'PTKP &amp; TARIF'!$D$4:$E$11,2,0)),"",VLOOKUP(K14,'PTKP &amp; TARIF'!$D$4:$E$11,2,0))</f>
        <v/>
      </c>
      <c r="M14" s="9">
        <v>26</v>
      </c>
      <c r="N14" s="9">
        <v>26</v>
      </c>
      <c r="O14" s="115" t="s">
        <v>92</v>
      </c>
      <c r="P14" s="118">
        <f>'Data Gaji'!AL14</f>
        <v>0</v>
      </c>
      <c r="Q14" s="66">
        <f>IF($L14="TER A",VLOOKUP(P14,TER!$A$5:$D$48,4,TRUE),IF($L14="TER B",VLOOKUP(P14,TER!$F$5:$I$44,4,TRUE),IF($L14="TER C",VLOOKUP(P14,TER!$K$5:$N$45,4,TRUE),0)))</f>
        <v>0</v>
      </c>
      <c r="R14" s="61">
        <f t="shared" si="1"/>
        <v>0</v>
      </c>
      <c r="S14" s="92">
        <f t="shared" si="2"/>
        <v>0</v>
      </c>
      <c r="T14" s="66">
        <f>IF($L14="TER A",VLOOKUP(P14,TER!$A$5:$D$48,4,TRUE),IF($L14="TER B",VLOOKUP(P14,TER!$F$5:$I$44,4,TRUE),IF($L14="TER C",VLOOKUP(P14,TER!$K$5:$N$45,4,TRUE),0)))</f>
        <v>0</v>
      </c>
      <c r="U14" s="98">
        <f t="shared" si="3"/>
        <v>0</v>
      </c>
      <c r="W14" s="118">
        <f>'Data Gaji'!BL14</f>
        <v>0</v>
      </c>
      <c r="X14" s="66">
        <f>IF($L14="TER A",VLOOKUP(W14,TER!$A$5:$D$48,4,TRUE),IF($L14="TER B",VLOOKUP(W14,TER!$F$5:$I$44,4,TRUE),IF($L14="TER C",VLOOKUP(W14,TER!$K$5:$N$45,4,TRUE),0)))</f>
        <v>0</v>
      </c>
      <c r="Y14" s="61">
        <f t="shared" si="4"/>
        <v>0</v>
      </c>
      <c r="Z14" s="92">
        <f t="shared" si="5"/>
        <v>0</v>
      </c>
      <c r="AA14" s="66">
        <f>IF($L14="TER A",VLOOKUP(W14,TER!$A$5:$D$48,4,TRUE),IF($L14="TER B",VLOOKUP(W14,TER!$F$5:$I$44,4,TRUE),IF($L14="TER C",VLOOKUP(W14,TER!$K$5:$N$45,4,TRUE),0)))</f>
        <v>0</v>
      </c>
      <c r="AB14" s="98">
        <f t="shared" si="6"/>
        <v>0</v>
      </c>
      <c r="AD14" s="118">
        <f>'Data Gaji'!CL14</f>
        <v>0</v>
      </c>
      <c r="AE14" s="66">
        <f>IF($L14="TER A",VLOOKUP(AD14,TER!$A$5:$D$48,4,TRUE),IF($L14="TER B",VLOOKUP(AD14,TER!$F$5:$I$44,4,TRUE),IF($L14="TER C",VLOOKUP(AD14,TER!$K$5:$N$45,4,TRUE),0)))</f>
        <v>0</v>
      </c>
      <c r="AF14" s="61">
        <f t="shared" si="7"/>
        <v>0</v>
      </c>
      <c r="AG14" s="92">
        <f t="shared" si="8"/>
        <v>0</v>
      </c>
      <c r="AH14" s="66">
        <f>IF($L14="TER A",VLOOKUP(AD14,TER!$A$5:$D$48,4,TRUE),IF($L14="TER B",VLOOKUP(AD14,TER!$F$5:$I$44,4,TRUE),IF($L14="TER C",VLOOKUP(AD14,TER!$K$5:$N$45,4,TRUE),0)))</f>
        <v>0</v>
      </c>
      <c r="AI14" s="98">
        <f t="shared" si="9"/>
        <v>0</v>
      </c>
      <c r="AK14" s="118">
        <f>'Data Gaji'!DL14</f>
        <v>0</v>
      </c>
      <c r="AL14" s="66">
        <f>IF($L14="TER A",VLOOKUP(AK14,TER!$A$5:$D$48,4,TRUE),IF($L14="TER B",VLOOKUP(AK14,TER!$F$5:$I$44,4,TRUE),IF($L14="TER C",VLOOKUP(AK14,TER!$K$5:$N$45,4,TRUE),0)))</f>
        <v>0</v>
      </c>
      <c r="AM14" s="61">
        <f t="shared" si="10"/>
        <v>0</v>
      </c>
      <c r="AN14" s="92">
        <f t="shared" si="11"/>
        <v>0</v>
      </c>
      <c r="AO14" s="66">
        <f>IF($L14="TER A",VLOOKUP(AK14,TER!$A$5:$D$48,4,TRUE),IF($L14="TER B",VLOOKUP(AK14,TER!$F$5:$I$44,4,TRUE),IF($L14="TER C",VLOOKUP(AK14,TER!$K$5:$N$45,4,TRUE),0)))</f>
        <v>0</v>
      </c>
      <c r="AP14" s="98">
        <f t="shared" si="12"/>
        <v>0</v>
      </c>
      <c r="AR14" s="118">
        <f>'Data Gaji'!EL14</f>
        <v>0</v>
      </c>
      <c r="AS14" s="66">
        <f>IF($L14="TER A",VLOOKUP(AR14,TER!$A$5:$D$48,4,TRUE),IF($L14="TER B",VLOOKUP(AR14,TER!$F$5:$I$44,4,TRUE),IF($L14="TER C",VLOOKUP(AR14,TER!$K$5:$N$45,4,TRUE),0)))</f>
        <v>0</v>
      </c>
      <c r="AT14" s="61">
        <f t="shared" si="13"/>
        <v>0</v>
      </c>
      <c r="AU14" s="92">
        <f t="shared" si="14"/>
        <v>0</v>
      </c>
      <c r="AV14" s="66">
        <f>IF($L14="TER A",VLOOKUP(AR14,TER!$A$5:$D$48,4,TRUE),IF($L14="TER B",VLOOKUP(AR14,TER!$F$5:$I$44,4,TRUE),IF($L14="TER C",VLOOKUP(AR14,TER!$K$5:$N$45,4,TRUE),0)))</f>
        <v>0</v>
      </c>
      <c r="AW14" s="98">
        <f t="shared" si="15"/>
        <v>0</v>
      </c>
      <c r="AY14" s="118">
        <f>'Data Gaji'!FL14</f>
        <v>0</v>
      </c>
      <c r="AZ14" s="66">
        <f>IF($L14="TER A",VLOOKUP(AY14,TER!$A$5:$D$48,4,TRUE),IF($L14="TER B",VLOOKUP(AY14,TER!$F$5:$I$44,4,TRUE),IF($L14="TER C",VLOOKUP(AY14,TER!$K$5:$N$45,4,TRUE),0)))</f>
        <v>0</v>
      </c>
      <c r="BA14" s="61">
        <f t="shared" si="16"/>
        <v>0</v>
      </c>
      <c r="BB14" s="92">
        <f t="shared" si="17"/>
        <v>0</v>
      </c>
      <c r="BC14" s="66">
        <f>IF($L14="TER A",VLOOKUP(AY14,TER!$A$5:$D$48,4,TRUE),IF($L14="TER B",VLOOKUP(AY14,TER!$F$5:$I$44,4,TRUE),IF($L14="TER C",VLOOKUP(AY14,TER!$K$5:$N$45,4,TRUE),0)))</f>
        <v>0</v>
      </c>
      <c r="BD14" s="98">
        <f t="shared" si="18"/>
        <v>0</v>
      </c>
      <c r="BF14" s="118">
        <f>'Data Gaji'!GL14</f>
        <v>0</v>
      </c>
      <c r="BG14" s="66">
        <f>IF($L14="TER A",VLOOKUP(BF14,TER!$A$5:$D$48,4,TRUE),IF($L14="TER B",VLOOKUP(BF14,TER!$F$5:$I$44,4,TRUE),IF($L14="TER C",VLOOKUP(BF14,TER!$K$5:$N$45,4,TRUE),0)))</f>
        <v>0</v>
      </c>
      <c r="BH14" s="61">
        <f t="shared" si="19"/>
        <v>0</v>
      </c>
      <c r="BI14" s="92">
        <f t="shared" si="20"/>
        <v>0</v>
      </c>
      <c r="BJ14" s="66">
        <f>IF($L14="TER A",VLOOKUP(BF14,TER!$A$5:$D$48,4,TRUE),IF($L14="TER B",VLOOKUP(BF14,TER!$F$5:$I$44,4,TRUE),IF($L14="TER C",VLOOKUP(BF14,TER!$K$5:$N$45,4,TRUE),0)))</f>
        <v>0</v>
      </c>
      <c r="BK14" s="98">
        <f t="shared" si="21"/>
        <v>0</v>
      </c>
      <c r="BM14" s="118">
        <f>'Data Gaji'!HL14</f>
        <v>0</v>
      </c>
      <c r="BN14" s="66">
        <f>IF($L14="TER A",VLOOKUP(BM14,TER!$A$5:$D$48,4,TRUE),IF($L14="TER B",VLOOKUP(BM14,TER!$F$5:$I$44,4,TRUE),IF($L14="TER C",VLOOKUP(BM14,TER!$K$5:$N$45,4,TRUE),0)))</f>
        <v>0</v>
      </c>
      <c r="BO14" s="61">
        <f t="shared" si="22"/>
        <v>0</v>
      </c>
      <c r="BP14" s="92">
        <f t="shared" si="23"/>
        <v>0</v>
      </c>
      <c r="BQ14" s="66">
        <f>IF($L14="TER A",VLOOKUP(BM14,TER!$A$5:$D$48,4,TRUE),IF($L14="TER B",VLOOKUP(BM14,TER!$F$5:$I$44,4,TRUE),IF($L14="TER C",VLOOKUP(BM14,TER!$K$5:$N$45,4,TRUE),0)))</f>
        <v>0</v>
      </c>
      <c r="BR14" s="98">
        <f t="shared" si="24"/>
        <v>0</v>
      </c>
      <c r="BT14" s="118">
        <f>'Data Gaji'!IL14</f>
        <v>0</v>
      </c>
      <c r="BU14" s="66">
        <f>IF($L14="TER A",VLOOKUP(BT14,TER!$A$5:$D$48,4,TRUE),IF($L14="TER B",VLOOKUP(BT14,TER!$F$5:$I$44,4,TRUE),IF($L14="TER C",VLOOKUP(BT14,TER!$K$5:$N$45,4,TRUE),0)))</f>
        <v>0</v>
      </c>
      <c r="BV14" s="61">
        <f t="shared" si="25"/>
        <v>0</v>
      </c>
      <c r="BW14" s="92">
        <f t="shared" si="26"/>
        <v>0</v>
      </c>
      <c r="BX14" s="66">
        <f>IF($L14="TER A",VLOOKUP(BT14,TER!$A$5:$D$48,4,TRUE),IF($L14="TER B",VLOOKUP(BT14,TER!$F$5:$I$44,4,TRUE),IF($L14="TER C",VLOOKUP(BT14,TER!$K$5:$N$45,4,TRUE),0)))</f>
        <v>0</v>
      </c>
      <c r="BY14" s="98">
        <f t="shared" si="27"/>
        <v>0</v>
      </c>
      <c r="CA14" s="118">
        <f>'Data Gaji'!JL14</f>
        <v>0</v>
      </c>
      <c r="CB14" s="66">
        <f>IF($L14="TER A",VLOOKUP(CA14,TER!$A$5:$D$48,4,TRUE),IF($L14="TER B",VLOOKUP(CA14,TER!$F$5:$I$44,4,TRUE),IF($L14="TER C",VLOOKUP(CA14,TER!$K$5:$N$45,4,TRUE),0)))</f>
        <v>0</v>
      </c>
      <c r="CC14" s="61">
        <f t="shared" si="28"/>
        <v>0</v>
      </c>
      <c r="CD14" s="92">
        <f t="shared" si="29"/>
        <v>0</v>
      </c>
      <c r="CE14" s="66">
        <f>IF($L14="TER A",VLOOKUP(CA14,TER!$A$5:$D$48,4,TRUE),IF($L14="TER B",VLOOKUP(CA14,TER!$F$5:$I$44,4,TRUE),IF($L14="TER C",VLOOKUP(CA14,TER!$K$5:$N$45,4,TRUE),0)))</f>
        <v>0</v>
      </c>
      <c r="CF14" s="98">
        <f t="shared" si="30"/>
        <v>0</v>
      </c>
      <c r="CH14" s="118">
        <f>'Data Gaji'!KL14</f>
        <v>0</v>
      </c>
      <c r="CI14" s="66">
        <f>IF($L14="TER A",VLOOKUP(CH14,TER!$A$5:$D$48,4,TRUE),IF($L14="TER B",VLOOKUP(CH14,TER!$F$5:$I$44,4,TRUE),IF($L14="TER C",VLOOKUP(CH14,TER!$K$5:$N$45,4,TRUE),0)))</f>
        <v>0</v>
      </c>
      <c r="CJ14" s="61">
        <f t="shared" si="31"/>
        <v>0</v>
      </c>
      <c r="CK14" s="92">
        <f t="shared" si="32"/>
        <v>0</v>
      </c>
      <c r="CL14" s="66">
        <f>IF($L14="TER A",VLOOKUP(CH14,TER!$A$5:$D$48,4,TRUE),IF($L14="TER B",VLOOKUP(CH14,TER!$F$5:$I$44,4,TRUE),IF($L14="TER C",VLOOKUP(CH14,TER!$K$5:$N$45,4,TRUE),0)))</f>
        <v>0</v>
      </c>
      <c r="CM14" s="98">
        <f t="shared" si="33"/>
        <v>0</v>
      </c>
      <c r="CO14" s="118">
        <f>'Data Gaji'!LL14</f>
        <v>0</v>
      </c>
      <c r="CP14" s="66">
        <f>IF($L14="TER A",VLOOKUP(CO14,TER!$A$5:$D$48,4,TRUE),IF($L14="TER B",VLOOKUP(CO14,TER!$F$5:$I$44,4,TRUE),IF($L14="TER C",VLOOKUP(CO14,TER!$K$5:$N$45,4,TRUE),0)))</f>
        <v>0</v>
      </c>
      <c r="CQ14" s="61">
        <f t="shared" si="34"/>
        <v>0</v>
      </c>
      <c r="CR14" s="92">
        <f t="shared" si="35"/>
        <v>0</v>
      </c>
      <c r="CS14" s="66">
        <f>IF($L14="TER A",VLOOKUP(CO14,TER!$A$5:$D$48,4,TRUE),IF($L14="TER B",VLOOKUP(CO14,TER!$F$5:$I$44,4,TRUE),IF($L14="TER C",VLOOKUP(CO14,TER!$K$5:$N$45,4,TRUE),0)))</f>
        <v>0</v>
      </c>
      <c r="CT14" s="98">
        <f t="shared" si="36"/>
        <v>0</v>
      </c>
    </row>
    <row r="15" spans="1:98" customFormat="1" ht="15" customHeight="1" x14ac:dyDescent="0.35">
      <c r="A15" s="52">
        <f t="shared" si="0"/>
        <v>9</v>
      </c>
      <c r="B15" s="53"/>
      <c r="C15" s="73"/>
      <c r="D15" s="55"/>
      <c r="E15" s="281"/>
      <c r="F15" s="272"/>
      <c r="G15" s="277"/>
      <c r="H15" s="272"/>
      <c r="I15" s="272"/>
      <c r="J15" s="54"/>
      <c r="K15" s="272">
        <f>'Data Gaji'!K15</f>
        <v>0</v>
      </c>
      <c r="L15" s="67" t="str">
        <f>IF(ISNA(VLOOKUP(K15,'PTKP &amp; TARIF'!$D$4:$E$11,2,0)),"",VLOOKUP(K15,'PTKP &amp; TARIF'!$D$4:$E$11,2,0))</f>
        <v/>
      </c>
      <c r="M15" s="9">
        <v>26</v>
      </c>
      <c r="N15" s="9">
        <v>26</v>
      </c>
      <c r="O15" s="115" t="s">
        <v>92</v>
      </c>
      <c r="P15" s="118">
        <f>'Data Gaji'!AL15</f>
        <v>0</v>
      </c>
      <c r="Q15" s="66">
        <f>IF($L15="TER A",VLOOKUP(P15,TER!$A$5:$D$48,4,TRUE),IF($L15="TER B",VLOOKUP(P15,TER!$F$5:$I$44,4,TRUE),IF($L15="TER C",VLOOKUP(P15,TER!$K$5:$N$45,4,TRUE),0)))</f>
        <v>0</v>
      </c>
      <c r="R15" s="61">
        <f t="shared" si="1"/>
        <v>0</v>
      </c>
      <c r="S15" s="92">
        <f t="shared" si="2"/>
        <v>0</v>
      </c>
      <c r="T15" s="66">
        <f>IF($L15="TER A",VLOOKUP(P15,TER!$A$5:$D$48,4,TRUE),IF($L15="TER B",VLOOKUP(P15,TER!$F$5:$I$44,4,TRUE),IF($L15="TER C",VLOOKUP(P15,TER!$K$5:$N$45,4,TRUE),0)))</f>
        <v>0</v>
      </c>
      <c r="U15" s="98">
        <f t="shared" si="3"/>
        <v>0</v>
      </c>
      <c r="W15" s="118">
        <f>'Data Gaji'!BL15</f>
        <v>0</v>
      </c>
      <c r="X15" s="66">
        <f>IF($L15="TER A",VLOOKUP(W15,TER!$A$5:$D$48,4,TRUE),IF($L15="TER B",VLOOKUP(W15,TER!$F$5:$I$44,4,TRUE),IF($L15="TER C",VLOOKUP(W15,TER!$K$5:$N$45,4,TRUE),0)))</f>
        <v>0</v>
      </c>
      <c r="Y15" s="61">
        <f t="shared" si="4"/>
        <v>0</v>
      </c>
      <c r="Z15" s="92">
        <f t="shared" si="5"/>
        <v>0</v>
      </c>
      <c r="AA15" s="66">
        <f>IF($L15="TER A",VLOOKUP(W15,TER!$A$5:$D$48,4,TRUE),IF($L15="TER B",VLOOKUP(W15,TER!$F$5:$I$44,4,TRUE),IF($L15="TER C",VLOOKUP(W15,TER!$K$5:$N$45,4,TRUE),0)))</f>
        <v>0</v>
      </c>
      <c r="AB15" s="98">
        <f t="shared" si="6"/>
        <v>0</v>
      </c>
      <c r="AD15" s="118">
        <f>'Data Gaji'!CL15</f>
        <v>0</v>
      </c>
      <c r="AE15" s="66">
        <f>IF($L15="TER A",VLOOKUP(AD15,TER!$A$5:$D$48,4,TRUE),IF($L15="TER B",VLOOKUP(AD15,TER!$F$5:$I$44,4,TRUE),IF($L15="TER C",VLOOKUP(AD15,TER!$K$5:$N$45,4,TRUE),0)))</f>
        <v>0</v>
      </c>
      <c r="AF15" s="61">
        <f t="shared" si="7"/>
        <v>0</v>
      </c>
      <c r="AG15" s="92">
        <f t="shared" si="8"/>
        <v>0</v>
      </c>
      <c r="AH15" s="66">
        <f>IF($L15="TER A",VLOOKUP(AD15,TER!$A$5:$D$48,4,TRUE),IF($L15="TER B",VLOOKUP(AD15,TER!$F$5:$I$44,4,TRUE),IF($L15="TER C",VLOOKUP(AD15,TER!$K$5:$N$45,4,TRUE),0)))</f>
        <v>0</v>
      </c>
      <c r="AI15" s="98">
        <f t="shared" si="9"/>
        <v>0</v>
      </c>
      <c r="AK15" s="118">
        <f>'Data Gaji'!DL15</f>
        <v>0</v>
      </c>
      <c r="AL15" s="66">
        <f>IF($L15="TER A",VLOOKUP(AK15,TER!$A$5:$D$48,4,TRUE),IF($L15="TER B",VLOOKUP(AK15,TER!$F$5:$I$44,4,TRUE),IF($L15="TER C",VLOOKUP(AK15,TER!$K$5:$N$45,4,TRUE),0)))</f>
        <v>0</v>
      </c>
      <c r="AM15" s="61">
        <f t="shared" si="10"/>
        <v>0</v>
      </c>
      <c r="AN15" s="92">
        <f t="shared" si="11"/>
        <v>0</v>
      </c>
      <c r="AO15" s="66">
        <f>IF($L15="TER A",VLOOKUP(AK15,TER!$A$5:$D$48,4,TRUE),IF($L15="TER B",VLOOKUP(AK15,TER!$F$5:$I$44,4,TRUE),IF($L15="TER C",VLOOKUP(AK15,TER!$K$5:$N$45,4,TRUE),0)))</f>
        <v>0</v>
      </c>
      <c r="AP15" s="98">
        <f t="shared" si="12"/>
        <v>0</v>
      </c>
      <c r="AR15" s="118">
        <f>'Data Gaji'!EL15</f>
        <v>0</v>
      </c>
      <c r="AS15" s="66">
        <f>IF($L15="TER A",VLOOKUP(AR15,TER!$A$5:$D$48,4,TRUE),IF($L15="TER B",VLOOKUP(AR15,TER!$F$5:$I$44,4,TRUE),IF($L15="TER C",VLOOKUP(AR15,TER!$K$5:$N$45,4,TRUE),0)))</f>
        <v>0</v>
      </c>
      <c r="AT15" s="61">
        <f t="shared" si="13"/>
        <v>0</v>
      </c>
      <c r="AU15" s="92">
        <f t="shared" si="14"/>
        <v>0</v>
      </c>
      <c r="AV15" s="66">
        <f>IF($L15="TER A",VLOOKUP(AR15,TER!$A$5:$D$48,4,TRUE),IF($L15="TER B",VLOOKUP(AR15,TER!$F$5:$I$44,4,TRUE),IF($L15="TER C",VLOOKUP(AR15,TER!$K$5:$N$45,4,TRUE),0)))</f>
        <v>0</v>
      </c>
      <c r="AW15" s="98">
        <f t="shared" si="15"/>
        <v>0</v>
      </c>
      <c r="AY15" s="118">
        <f>'Data Gaji'!FL15</f>
        <v>0</v>
      </c>
      <c r="AZ15" s="66">
        <f>IF($L15="TER A",VLOOKUP(AY15,TER!$A$5:$D$48,4,TRUE),IF($L15="TER B",VLOOKUP(AY15,TER!$F$5:$I$44,4,TRUE),IF($L15="TER C",VLOOKUP(AY15,TER!$K$5:$N$45,4,TRUE),0)))</f>
        <v>0</v>
      </c>
      <c r="BA15" s="61">
        <f t="shared" si="16"/>
        <v>0</v>
      </c>
      <c r="BB15" s="92">
        <f t="shared" si="17"/>
        <v>0</v>
      </c>
      <c r="BC15" s="66">
        <f>IF($L15="TER A",VLOOKUP(AY15,TER!$A$5:$D$48,4,TRUE),IF($L15="TER B",VLOOKUP(AY15,TER!$F$5:$I$44,4,TRUE),IF($L15="TER C",VLOOKUP(AY15,TER!$K$5:$N$45,4,TRUE),0)))</f>
        <v>0</v>
      </c>
      <c r="BD15" s="98">
        <f t="shared" si="18"/>
        <v>0</v>
      </c>
      <c r="BF15" s="118">
        <f>'Data Gaji'!GL15</f>
        <v>0</v>
      </c>
      <c r="BG15" s="66">
        <f>IF($L15="TER A",VLOOKUP(BF15,TER!$A$5:$D$48,4,TRUE),IF($L15="TER B",VLOOKUP(BF15,TER!$F$5:$I$44,4,TRUE),IF($L15="TER C",VLOOKUP(BF15,TER!$K$5:$N$45,4,TRUE),0)))</f>
        <v>0</v>
      </c>
      <c r="BH15" s="61">
        <f t="shared" si="19"/>
        <v>0</v>
      </c>
      <c r="BI15" s="92">
        <f t="shared" si="20"/>
        <v>0</v>
      </c>
      <c r="BJ15" s="66">
        <f>IF($L15="TER A",VLOOKUP(BF15,TER!$A$5:$D$48,4,TRUE),IF($L15="TER B",VLOOKUP(BF15,TER!$F$5:$I$44,4,TRUE),IF($L15="TER C",VLOOKUP(BF15,TER!$K$5:$N$45,4,TRUE),0)))</f>
        <v>0</v>
      </c>
      <c r="BK15" s="98">
        <f t="shared" si="21"/>
        <v>0</v>
      </c>
      <c r="BM15" s="118">
        <f>'Data Gaji'!HL15</f>
        <v>0</v>
      </c>
      <c r="BN15" s="66">
        <f>IF($L15="TER A",VLOOKUP(BM15,TER!$A$5:$D$48,4,TRUE),IF($L15="TER B",VLOOKUP(BM15,TER!$F$5:$I$44,4,TRUE),IF($L15="TER C",VLOOKUP(BM15,TER!$K$5:$N$45,4,TRUE),0)))</f>
        <v>0</v>
      </c>
      <c r="BO15" s="61">
        <f t="shared" si="22"/>
        <v>0</v>
      </c>
      <c r="BP15" s="92">
        <f t="shared" si="23"/>
        <v>0</v>
      </c>
      <c r="BQ15" s="66">
        <f>IF($L15="TER A",VLOOKUP(BM15,TER!$A$5:$D$48,4,TRUE),IF($L15="TER B",VLOOKUP(BM15,TER!$F$5:$I$44,4,TRUE),IF($L15="TER C",VLOOKUP(BM15,TER!$K$5:$N$45,4,TRUE),0)))</f>
        <v>0</v>
      </c>
      <c r="BR15" s="98">
        <f t="shared" si="24"/>
        <v>0</v>
      </c>
      <c r="BT15" s="118">
        <f>'Data Gaji'!IL15</f>
        <v>0</v>
      </c>
      <c r="BU15" s="66">
        <f>IF($L15="TER A",VLOOKUP(BT15,TER!$A$5:$D$48,4,TRUE),IF($L15="TER B",VLOOKUP(BT15,TER!$F$5:$I$44,4,TRUE),IF($L15="TER C",VLOOKUP(BT15,TER!$K$5:$N$45,4,TRUE),0)))</f>
        <v>0</v>
      </c>
      <c r="BV15" s="61">
        <f t="shared" si="25"/>
        <v>0</v>
      </c>
      <c r="BW15" s="92">
        <f t="shared" si="26"/>
        <v>0</v>
      </c>
      <c r="BX15" s="66">
        <f>IF($L15="TER A",VLOOKUP(BT15,TER!$A$5:$D$48,4,TRUE),IF($L15="TER B",VLOOKUP(BT15,TER!$F$5:$I$44,4,TRUE),IF($L15="TER C",VLOOKUP(BT15,TER!$K$5:$N$45,4,TRUE),0)))</f>
        <v>0</v>
      </c>
      <c r="BY15" s="98">
        <f t="shared" si="27"/>
        <v>0</v>
      </c>
      <c r="CA15" s="118">
        <f>'Data Gaji'!JL15</f>
        <v>0</v>
      </c>
      <c r="CB15" s="66">
        <f>IF($L15="TER A",VLOOKUP(CA15,TER!$A$5:$D$48,4,TRUE),IF($L15="TER B",VLOOKUP(CA15,TER!$F$5:$I$44,4,TRUE),IF($L15="TER C",VLOOKUP(CA15,TER!$K$5:$N$45,4,TRUE),0)))</f>
        <v>0</v>
      </c>
      <c r="CC15" s="61">
        <f t="shared" si="28"/>
        <v>0</v>
      </c>
      <c r="CD15" s="92">
        <f t="shared" si="29"/>
        <v>0</v>
      </c>
      <c r="CE15" s="66">
        <f>IF($L15="TER A",VLOOKUP(CA15,TER!$A$5:$D$48,4,TRUE),IF($L15="TER B",VLOOKUP(CA15,TER!$F$5:$I$44,4,TRUE),IF($L15="TER C",VLOOKUP(CA15,TER!$K$5:$N$45,4,TRUE),0)))</f>
        <v>0</v>
      </c>
      <c r="CF15" s="98">
        <f t="shared" si="30"/>
        <v>0</v>
      </c>
      <c r="CH15" s="118">
        <f>'Data Gaji'!KL15</f>
        <v>0</v>
      </c>
      <c r="CI15" s="66">
        <f>IF($L15="TER A",VLOOKUP(CH15,TER!$A$5:$D$48,4,TRUE),IF($L15="TER B",VLOOKUP(CH15,TER!$F$5:$I$44,4,TRUE),IF($L15="TER C",VLOOKUP(CH15,TER!$K$5:$N$45,4,TRUE),0)))</f>
        <v>0</v>
      </c>
      <c r="CJ15" s="61">
        <f t="shared" si="31"/>
        <v>0</v>
      </c>
      <c r="CK15" s="92">
        <f t="shared" si="32"/>
        <v>0</v>
      </c>
      <c r="CL15" s="66">
        <f>IF($L15="TER A",VLOOKUP(CH15,TER!$A$5:$D$48,4,TRUE),IF($L15="TER B",VLOOKUP(CH15,TER!$F$5:$I$44,4,TRUE),IF($L15="TER C",VLOOKUP(CH15,TER!$K$5:$N$45,4,TRUE),0)))</f>
        <v>0</v>
      </c>
      <c r="CM15" s="98">
        <f t="shared" si="33"/>
        <v>0</v>
      </c>
      <c r="CO15" s="118">
        <f>'Data Gaji'!LL15</f>
        <v>0</v>
      </c>
      <c r="CP15" s="66">
        <f>IF($L15="TER A",VLOOKUP(CO15,TER!$A$5:$D$48,4,TRUE),IF($L15="TER B",VLOOKUP(CO15,TER!$F$5:$I$44,4,TRUE),IF($L15="TER C",VLOOKUP(CO15,TER!$K$5:$N$45,4,TRUE),0)))</f>
        <v>0</v>
      </c>
      <c r="CQ15" s="61">
        <f t="shared" si="34"/>
        <v>0</v>
      </c>
      <c r="CR15" s="92">
        <f t="shared" si="35"/>
        <v>0</v>
      </c>
      <c r="CS15" s="66">
        <f>IF($L15="TER A",VLOOKUP(CO15,TER!$A$5:$D$48,4,TRUE),IF($L15="TER B",VLOOKUP(CO15,TER!$F$5:$I$44,4,TRUE),IF($L15="TER C",VLOOKUP(CO15,TER!$K$5:$N$45,4,TRUE),0)))</f>
        <v>0</v>
      </c>
      <c r="CT15" s="98">
        <f t="shared" si="36"/>
        <v>0</v>
      </c>
    </row>
    <row r="16" spans="1:98" x14ac:dyDescent="0.35">
      <c r="A16" s="52">
        <f t="shared" si="0"/>
        <v>10</v>
      </c>
      <c r="B16" s="69"/>
      <c r="C16" s="73"/>
      <c r="D16" s="55"/>
      <c r="E16" s="281"/>
      <c r="F16" s="272"/>
      <c r="G16" s="277"/>
      <c r="H16" s="272"/>
      <c r="I16" s="272"/>
      <c r="J16" s="54"/>
      <c r="K16" s="272">
        <f>'Data Gaji'!K16</f>
        <v>0</v>
      </c>
      <c r="L16" s="67" t="str">
        <f>IF(ISNA(VLOOKUP(K16,'PTKP &amp; TARIF'!$D$4:$E$11,2,0)),"",VLOOKUP(K16,'PTKP &amp; TARIF'!$D$4:$E$11,2,0))</f>
        <v/>
      </c>
      <c r="M16" s="9">
        <v>26</v>
      </c>
      <c r="N16" s="9">
        <v>26</v>
      </c>
      <c r="O16" s="115" t="s">
        <v>92</v>
      </c>
      <c r="P16" s="118">
        <f>'Data Gaji'!AL16</f>
        <v>0</v>
      </c>
      <c r="Q16" s="66">
        <f>IF($L16="TER A",VLOOKUP(P16,TER!$A$5:$D$48,4,TRUE),IF($L16="TER B",VLOOKUP(P16,TER!$F$5:$I$44,4,TRUE),IF($L16="TER C",VLOOKUP(P16,TER!$K$5:$N$45,4,TRUE),0)))</f>
        <v>0</v>
      </c>
      <c r="R16" s="61">
        <f t="shared" si="1"/>
        <v>0</v>
      </c>
      <c r="S16" s="92">
        <f t="shared" si="2"/>
        <v>0</v>
      </c>
      <c r="T16" s="66">
        <f>IF($L16="TER A",VLOOKUP(P16,TER!$A$5:$D$48,4,TRUE),IF($L16="TER B",VLOOKUP(P16,TER!$F$5:$I$44,4,TRUE),IF($L16="TER C",VLOOKUP(P16,TER!$K$5:$N$45,4,TRUE),0)))</f>
        <v>0</v>
      </c>
      <c r="U16" s="98">
        <f t="shared" si="3"/>
        <v>0</v>
      </c>
      <c r="W16" s="118">
        <f>'Data Gaji'!BL16</f>
        <v>0</v>
      </c>
      <c r="X16" s="66">
        <f>IF($L16="TER A",VLOOKUP(W16,TER!$A$5:$D$48,4,TRUE),IF($L16="TER B",VLOOKUP(W16,TER!$F$5:$I$44,4,TRUE),IF($L16="TER C",VLOOKUP(W16,TER!$K$5:$N$45,4,TRUE),0)))</f>
        <v>0</v>
      </c>
      <c r="Y16" s="61">
        <f t="shared" si="4"/>
        <v>0</v>
      </c>
      <c r="Z16" s="92">
        <f t="shared" si="5"/>
        <v>0</v>
      </c>
      <c r="AA16" s="66">
        <f>IF($L16="TER A",VLOOKUP(W16,TER!$A$5:$D$48,4,TRUE),IF($L16="TER B",VLOOKUP(W16,TER!$F$5:$I$44,4,TRUE),IF($L16="TER C",VLOOKUP(W16,TER!$K$5:$N$45,4,TRUE),0)))</f>
        <v>0</v>
      </c>
      <c r="AB16" s="98">
        <f t="shared" si="6"/>
        <v>0</v>
      </c>
      <c r="AD16" s="118">
        <f>'Data Gaji'!CL16</f>
        <v>0</v>
      </c>
      <c r="AE16" s="66">
        <f>IF($L16="TER A",VLOOKUP(AD16,TER!$A$5:$D$48,4,TRUE),IF($L16="TER B",VLOOKUP(AD16,TER!$F$5:$I$44,4,TRUE),IF($L16="TER C",VLOOKUP(AD16,TER!$K$5:$N$45,4,TRUE),0)))</f>
        <v>0</v>
      </c>
      <c r="AF16" s="61">
        <f t="shared" si="7"/>
        <v>0</v>
      </c>
      <c r="AG16" s="92">
        <f t="shared" si="8"/>
        <v>0</v>
      </c>
      <c r="AH16" s="66">
        <f>IF($L16="TER A",VLOOKUP(AD16,TER!$A$5:$D$48,4,TRUE),IF($L16="TER B",VLOOKUP(AD16,TER!$F$5:$I$44,4,TRUE),IF($L16="TER C",VLOOKUP(AD16,TER!$K$5:$N$45,4,TRUE),0)))</f>
        <v>0</v>
      </c>
      <c r="AI16" s="98">
        <f t="shared" si="9"/>
        <v>0</v>
      </c>
      <c r="AK16" s="118">
        <f>'Data Gaji'!DL16</f>
        <v>0</v>
      </c>
      <c r="AL16" s="66">
        <f>IF($L16="TER A",VLOOKUP(AK16,TER!$A$5:$D$48,4,TRUE),IF($L16="TER B",VLOOKUP(AK16,TER!$F$5:$I$44,4,TRUE),IF($L16="TER C",VLOOKUP(AK16,TER!$K$5:$N$45,4,TRUE),0)))</f>
        <v>0</v>
      </c>
      <c r="AM16" s="61">
        <f t="shared" si="10"/>
        <v>0</v>
      </c>
      <c r="AN16" s="92">
        <f t="shared" si="11"/>
        <v>0</v>
      </c>
      <c r="AO16" s="66">
        <f>IF($L16="TER A",VLOOKUP(AK16,TER!$A$5:$D$48,4,TRUE),IF($L16="TER B",VLOOKUP(AK16,TER!$F$5:$I$44,4,TRUE),IF($L16="TER C",VLOOKUP(AK16,TER!$K$5:$N$45,4,TRUE),0)))</f>
        <v>0</v>
      </c>
      <c r="AP16" s="98">
        <f t="shared" si="12"/>
        <v>0</v>
      </c>
      <c r="AR16" s="118">
        <f>'Data Gaji'!EL16</f>
        <v>0</v>
      </c>
      <c r="AS16" s="66">
        <f>IF($L16="TER A",VLOOKUP(AR16,TER!$A$5:$D$48,4,TRUE),IF($L16="TER B",VLOOKUP(AR16,TER!$F$5:$I$44,4,TRUE),IF($L16="TER C",VLOOKUP(AR16,TER!$K$5:$N$45,4,TRUE),0)))</f>
        <v>0</v>
      </c>
      <c r="AT16" s="61">
        <f t="shared" si="13"/>
        <v>0</v>
      </c>
      <c r="AU16" s="92">
        <f t="shared" si="14"/>
        <v>0</v>
      </c>
      <c r="AV16" s="66">
        <f>IF($L16="TER A",VLOOKUP(AR16,TER!$A$5:$D$48,4,TRUE),IF($L16="TER B",VLOOKUP(AR16,TER!$F$5:$I$44,4,TRUE),IF($L16="TER C",VLOOKUP(AR16,TER!$K$5:$N$45,4,TRUE),0)))</f>
        <v>0</v>
      </c>
      <c r="AW16" s="98">
        <f t="shared" si="15"/>
        <v>0</v>
      </c>
      <c r="AY16" s="118">
        <f>'Data Gaji'!FL16</f>
        <v>0</v>
      </c>
      <c r="AZ16" s="66">
        <f>IF($L16="TER A",VLOOKUP(AY16,TER!$A$5:$D$48,4,TRUE),IF($L16="TER B",VLOOKUP(AY16,TER!$F$5:$I$44,4,TRUE),IF($L16="TER C",VLOOKUP(AY16,TER!$K$5:$N$45,4,TRUE),0)))</f>
        <v>0</v>
      </c>
      <c r="BA16" s="61">
        <f t="shared" si="16"/>
        <v>0</v>
      </c>
      <c r="BB16" s="92">
        <f t="shared" si="17"/>
        <v>0</v>
      </c>
      <c r="BC16" s="66">
        <f>IF($L16="TER A",VLOOKUP(AY16,TER!$A$5:$D$48,4,TRUE),IF($L16="TER B",VLOOKUP(AY16,TER!$F$5:$I$44,4,TRUE),IF($L16="TER C",VLOOKUP(AY16,TER!$K$5:$N$45,4,TRUE),0)))</f>
        <v>0</v>
      </c>
      <c r="BD16" s="98">
        <f t="shared" si="18"/>
        <v>0</v>
      </c>
      <c r="BF16" s="118">
        <f>'Data Gaji'!GL16</f>
        <v>0</v>
      </c>
      <c r="BG16" s="66">
        <f>IF($L16="TER A",VLOOKUP(BF16,TER!$A$5:$D$48,4,TRUE),IF($L16="TER B",VLOOKUP(BF16,TER!$F$5:$I$44,4,TRUE),IF($L16="TER C",VLOOKUP(BF16,TER!$K$5:$N$45,4,TRUE),0)))</f>
        <v>0</v>
      </c>
      <c r="BH16" s="61">
        <f t="shared" si="19"/>
        <v>0</v>
      </c>
      <c r="BI16" s="92">
        <f t="shared" si="20"/>
        <v>0</v>
      </c>
      <c r="BJ16" s="66">
        <f>IF($L16="TER A",VLOOKUP(BF16,TER!$A$5:$D$48,4,TRUE),IF($L16="TER B",VLOOKUP(BF16,TER!$F$5:$I$44,4,TRUE),IF($L16="TER C",VLOOKUP(BF16,TER!$K$5:$N$45,4,TRUE),0)))</f>
        <v>0</v>
      </c>
      <c r="BK16" s="98">
        <f t="shared" si="21"/>
        <v>0</v>
      </c>
      <c r="BM16" s="118">
        <f>'Data Gaji'!HL16</f>
        <v>0</v>
      </c>
      <c r="BN16" s="66">
        <f>IF($L16="TER A",VLOOKUP(BM16,TER!$A$5:$D$48,4,TRUE),IF($L16="TER B",VLOOKUP(BM16,TER!$F$5:$I$44,4,TRUE),IF($L16="TER C",VLOOKUP(BM16,TER!$K$5:$N$45,4,TRUE),0)))</f>
        <v>0</v>
      </c>
      <c r="BO16" s="61">
        <f t="shared" si="22"/>
        <v>0</v>
      </c>
      <c r="BP16" s="92">
        <f t="shared" si="23"/>
        <v>0</v>
      </c>
      <c r="BQ16" s="66">
        <f>IF($L16="TER A",VLOOKUP(BM16,TER!$A$5:$D$48,4,TRUE),IF($L16="TER B",VLOOKUP(BM16,TER!$F$5:$I$44,4,TRUE),IF($L16="TER C",VLOOKUP(BM16,TER!$K$5:$N$45,4,TRUE),0)))</f>
        <v>0</v>
      </c>
      <c r="BR16" s="98">
        <f t="shared" si="24"/>
        <v>0</v>
      </c>
      <c r="BT16" s="118">
        <f>'Data Gaji'!IL16</f>
        <v>0</v>
      </c>
      <c r="BU16" s="66">
        <f>IF($L16="TER A",VLOOKUP(BT16,TER!$A$5:$D$48,4,TRUE),IF($L16="TER B",VLOOKUP(BT16,TER!$F$5:$I$44,4,TRUE),IF($L16="TER C",VLOOKUP(BT16,TER!$K$5:$N$45,4,TRUE),0)))</f>
        <v>0</v>
      </c>
      <c r="BV16" s="61">
        <f t="shared" si="25"/>
        <v>0</v>
      </c>
      <c r="BW16" s="92">
        <f t="shared" si="26"/>
        <v>0</v>
      </c>
      <c r="BX16" s="66">
        <f>IF($L16="TER A",VLOOKUP(BT16,TER!$A$5:$D$48,4,TRUE),IF($L16="TER B",VLOOKUP(BT16,TER!$F$5:$I$44,4,TRUE),IF($L16="TER C",VLOOKUP(BT16,TER!$K$5:$N$45,4,TRUE),0)))</f>
        <v>0</v>
      </c>
      <c r="BY16" s="98">
        <f t="shared" si="27"/>
        <v>0</v>
      </c>
      <c r="CA16" s="118">
        <f>'Data Gaji'!JL16</f>
        <v>0</v>
      </c>
      <c r="CB16" s="66">
        <f>IF($L16="TER A",VLOOKUP(CA16,TER!$A$5:$D$48,4,TRUE),IF($L16="TER B",VLOOKUP(CA16,TER!$F$5:$I$44,4,TRUE),IF($L16="TER C",VLOOKUP(CA16,TER!$K$5:$N$45,4,TRUE),0)))</f>
        <v>0</v>
      </c>
      <c r="CC16" s="61">
        <f t="shared" si="28"/>
        <v>0</v>
      </c>
      <c r="CD16" s="92">
        <f t="shared" si="29"/>
        <v>0</v>
      </c>
      <c r="CE16" s="66">
        <f>IF($L16="TER A",VLOOKUP(CA16,TER!$A$5:$D$48,4,TRUE),IF($L16="TER B",VLOOKUP(CA16,TER!$F$5:$I$44,4,TRUE),IF($L16="TER C",VLOOKUP(CA16,TER!$K$5:$N$45,4,TRUE),0)))</f>
        <v>0</v>
      </c>
      <c r="CF16" s="98">
        <f t="shared" si="30"/>
        <v>0</v>
      </c>
      <c r="CH16" s="118">
        <f>'Data Gaji'!KL16</f>
        <v>0</v>
      </c>
      <c r="CI16" s="66">
        <f>IF($L16="TER A",VLOOKUP(CH16,TER!$A$5:$D$48,4,TRUE),IF($L16="TER B",VLOOKUP(CH16,TER!$F$5:$I$44,4,TRUE),IF($L16="TER C",VLOOKUP(CH16,TER!$K$5:$N$45,4,TRUE),0)))</f>
        <v>0</v>
      </c>
      <c r="CJ16" s="61">
        <f t="shared" si="31"/>
        <v>0</v>
      </c>
      <c r="CK16" s="92">
        <f t="shared" si="32"/>
        <v>0</v>
      </c>
      <c r="CL16" s="66">
        <f>IF($L16="TER A",VLOOKUP(CH16,TER!$A$5:$D$48,4,TRUE),IF($L16="TER B",VLOOKUP(CH16,TER!$F$5:$I$44,4,TRUE),IF($L16="TER C",VLOOKUP(CH16,TER!$K$5:$N$45,4,TRUE),0)))</f>
        <v>0</v>
      </c>
      <c r="CM16" s="98">
        <f t="shared" si="33"/>
        <v>0</v>
      </c>
      <c r="CO16" s="118">
        <f>'Data Gaji'!LL16</f>
        <v>0</v>
      </c>
      <c r="CP16" s="66">
        <f>IF($L16="TER A",VLOOKUP(CO16,TER!$A$5:$D$48,4,TRUE),IF($L16="TER B",VLOOKUP(CO16,TER!$F$5:$I$44,4,TRUE),IF($L16="TER C",VLOOKUP(CO16,TER!$K$5:$N$45,4,TRUE),0)))</f>
        <v>0</v>
      </c>
      <c r="CQ16" s="61">
        <f t="shared" si="34"/>
        <v>0</v>
      </c>
      <c r="CR16" s="92">
        <f t="shared" si="35"/>
        <v>0</v>
      </c>
      <c r="CS16" s="66">
        <f>IF($L16="TER A",VLOOKUP(CO16,TER!$A$5:$D$48,4,TRUE),IF($L16="TER B",VLOOKUP(CO16,TER!$F$5:$I$44,4,TRUE),IF($L16="TER C",VLOOKUP(CO16,TER!$K$5:$N$45,4,TRUE),0)))</f>
        <v>0</v>
      </c>
      <c r="CT16" s="98">
        <f t="shared" si="36"/>
        <v>0</v>
      </c>
    </row>
    <row r="17" spans="1:98" x14ac:dyDescent="0.35">
      <c r="A17" s="52">
        <f t="shared" si="0"/>
        <v>11</v>
      </c>
      <c r="B17" s="69"/>
      <c r="C17" s="73"/>
      <c r="D17" s="55"/>
      <c r="E17" s="281"/>
      <c r="F17" s="272"/>
      <c r="G17" s="277"/>
      <c r="H17" s="272"/>
      <c r="I17" s="272"/>
      <c r="J17" s="54"/>
      <c r="K17" s="272">
        <f>'Data Gaji'!K17</f>
        <v>0</v>
      </c>
      <c r="L17" s="67" t="str">
        <f>IF(ISNA(VLOOKUP(K17,'PTKP &amp; TARIF'!$D$4:$E$11,2,0)),"",VLOOKUP(K17,'PTKP &amp; TARIF'!$D$4:$E$11,2,0))</f>
        <v/>
      </c>
      <c r="M17" s="9">
        <v>26</v>
      </c>
      <c r="N17" s="9">
        <v>26</v>
      </c>
      <c r="O17" s="115" t="s">
        <v>92</v>
      </c>
      <c r="P17" s="118">
        <f>'Data Gaji'!AL17</f>
        <v>0</v>
      </c>
      <c r="Q17" s="66">
        <f>IF($L17="TER A",VLOOKUP(P17,TER!$A$5:$D$48,4,TRUE),IF($L17="TER B",VLOOKUP(P17,TER!$F$5:$I$44,4,TRUE),IF($L17="TER C",VLOOKUP(P17,TER!$K$5:$N$45,4,TRUE),0)))</f>
        <v>0</v>
      </c>
      <c r="R17" s="61">
        <f t="shared" si="1"/>
        <v>0</v>
      </c>
      <c r="S17" s="92">
        <f t="shared" si="2"/>
        <v>0</v>
      </c>
      <c r="T17" s="66">
        <f>IF($L17="TER A",VLOOKUP(P17,TER!$A$5:$D$48,4,TRUE),IF($L17="TER B",VLOOKUP(P17,TER!$F$5:$I$44,4,TRUE),IF($L17="TER C",VLOOKUP(P17,TER!$K$5:$N$45,4,TRUE),0)))</f>
        <v>0</v>
      </c>
      <c r="U17" s="98">
        <f t="shared" si="3"/>
        <v>0</v>
      </c>
      <c r="W17" s="118">
        <f>'Data Gaji'!BL17</f>
        <v>0</v>
      </c>
      <c r="X17" s="66">
        <f>IF($L17="TER A",VLOOKUP(W17,TER!$A$5:$D$48,4,TRUE),IF($L17="TER B",VLOOKUP(W17,TER!$F$5:$I$44,4,TRUE),IF($L17="TER C",VLOOKUP(W17,TER!$K$5:$N$45,4,TRUE),0)))</f>
        <v>0</v>
      </c>
      <c r="Y17" s="61">
        <f t="shared" si="4"/>
        <v>0</v>
      </c>
      <c r="Z17" s="92">
        <f t="shared" si="5"/>
        <v>0</v>
      </c>
      <c r="AA17" s="66">
        <f>IF($L17="TER A",VLOOKUP(W17,TER!$A$5:$D$48,4,TRUE),IF($L17="TER B",VLOOKUP(W17,TER!$F$5:$I$44,4,TRUE),IF($L17="TER C",VLOOKUP(W17,TER!$K$5:$N$45,4,TRUE),0)))</f>
        <v>0</v>
      </c>
      <c r="AB17" s="98">
        <f t="shared" si="6"/>
        <v>0</v>
      </c>
      <c r="AD17" s="118">
        <f>'Data Gaji'!CL17</f>
        <v>0</v>
      </c>
      <c r="AE17" s="66">
        <f>IF($L17="TER A",VLOOKUP(AD17,TER!$A$5:$D$48,4,TRUE),IF($L17="TER B",VLOOKUP(AD17,TER!$F$5:$I$44,4,TRUE),IF($L17="TER C",VLOOKUP(AD17,TER!$K$5:$N$45,4,TRUE),0)))</f>
        <v>0</v>
      </c>
      <c r="AF17" s="61">
        <f t="shared" si="7"/>
        <v>0</v>
      </c>
      <c r="AG17" s="92">
        <f t="shared" si="8"/>
        <v>0</v>
      </c>
      <c r="AH17" s="66">
        <f>IF($L17="TER A",VLOOKUP(AD17,TER!$A$5:$D$48,4,TRUE),IF($L17="TER B",VLOOKUP(AD17,TER!$F$5:$I$44,4,TRUE),IF($L17="TER C",VLOOKUP(AD17,TER!$K$5:$N$45,4,TRUE),0)))</f>
        <v>0</v>
      </c>
      <c r="AI17" s="98">
        <f t="shared" si="9"/>
        <v>0</v>
      </c>
      <c r="AK17" s="118">
        <f>'Data Gaji'!DL17</f>
        <v>0</v>
      </c>
      <c r="AL17" s="66">
        <f>IF($L17="TER A",VLOOKUP(AK17,TER!$A$5:$D$48,4,TRUE),IF($L17="TER B",VLOOKUP(AK17,TER!$F$5:$I$44,4,TRUE),IF($L17="TER C",VLOOKUP(AK17,TER!$K$5:$N$45,4,TRUE),0)))</f>
        <v>0</v>
      </c>
      <c r="AM17" s="61">
        <f t="shared" si="10"/>
        <v>0</v>
      </c>
      <c r="AN17" s="92">
        <f t="shared" si="11"/>
        <v>0</v>
      </c>
      <c r="AO17" s="66">
        <f>IF($L17="TER A",VLOOKUP(AK17,TER!$A$5:$D$48,4,TRUE),IF($L17="TER B",VLOOKUP(AK17,TER!$F$5:$I$44,4,TRUE),IF($L17="TER C",VLOOKUP(AK17,TER!$K$5:$N$45,4,TRUE),0)))</f>
        <v>0</v>
      </c>
      <c r="AP17" s="98">
        <f t="shared" si="12"/>
        <v>0</v>
      </c>
      <c r="AR17" s="118">
        <f>'Data Gaji'!EL17</f>
        <v>0</v>
      </c>
      <c r="AS17" s="66">
        <f>IF($L17="TER A",VLOOKUP(AR17,TER!$A$5:$D$48,4,TRUE),IF($L17="TER B",VLOOKUP(AR17,TER!$F$5:$I$44,4,TRUE),IF($L17="TER C",VLOOKUP(AR17,TER!$K$5:$N$45,4,TRUE),0)))</f>
        <v>0</v>
      </c>
      <c r="AT17" s="61">
        <f t="shared" si="13"/>
        <v>0</v>
      </c>
      <c r="AU17" s="92">
        <f t="shared" si="14"/>
        <v>0</v>
      </c>
      <c r="AV17" s="66">
        <f>IF($L17="TER A",VLOOKUP(AR17,TER!$A$5:$D$48,4,TRUE),IF($L17="TER B",VLOOKUP(AR17,TER!$F$5:$I$44,4,TRUE),IF($L17="TER C",VLOOKUP(AR17,TER!$K$5:$N$45,4,TRUE),0)))</f>
        <v>0</v>
      </c>
      <c r="AW17" s="98">
        <f t="shared" si="15"/>
        <v>0</v>
      </c>
      <c r="AY17" s="118">
        <f>'Data Gaji'!FL17</f>
        <v>0</v>
      </c>
      <c r="AZ17" s="66">
        <f>IF($L17="TER A",VLOOKUP(AY17,TER!$A$5:$D$48,4,TRUE),IF($L17="TER B",VLOOKUP(AY17,TER!$F$5:$I$44,4,TRUE),IF($L17="TER C",VLOOKUP(AY17,TER!$K$5:$N$45,4,TRUE),0)))</f>
        <v>0</v>
      </c>
      <c r="BA17" s="61">
        <f t="shared" si="16"/>
        <v>0</v>
      </c>
      <c r="BB17" s="92">
        <f t="shared" si="17"/>
        <v>0</v>
      </c>
      <c r="BC17" s="66">
        <f>IF($L17="TER A",VLOOKUP(AY17,TER!$A$5:$D$48,4,TRUE),IF($L17="TER B",VLOOKUP(AY17,TER!$F$5:$I$44,4,TRUE),IF($L17="TER C",VLOOKUP(AY17,TER!$K$5:$N$45,4,TRUE),0)))</f>
        <v>0</v>
      </c>
      <c r="BD17" s="98">
        <f t="shared" si="18"/>
        <v>0</v>
      </c>
      <c r="BF17" s="118">
        <f>'Data Gaji'!GL17</f>
        <v>0</v>
      </c>
      <c r="BG17" s="66">
        <f>IF($L17="TER A",VLOOKUP(BF17,TER!$A$5:$D$48,4,TRUE),IF($L17="TER B",VLOOKUP(BF17,TER!$F$5:$I$44,4,TRUE),IF($L17="TER C",VLOOKUP(BF17,TER!$K$5:$N$45,4,TRUE),0)))</f>
        <v>0</v>
      </c>
      <c r="BH17" s="61">
        <f t="shared" si="19"/>
        <v>0</v>
      </c>
      <c r="BI17" s="92">
        <f t="shared" si="20"/>
        <v>0</v>
      </c>
      <c r="BJ17" s="66">
        <f>IF($L17="TER A",VLOOKUP(BF17,TER!$A$5:$D$48,4,TRUE),IF($L17="TER B",VLOOKUP(BF17,TER!$F$5:$I$44,4,TRUE),IF($L17="TER C",VLOOKUP(BF17,TER!$K$5:$N$45,4,TRUE),0)))</f>
        <v>0</v>
      </c>
      <c r="BK17" s="98">
        <f t="shared" si="21"/>
        <v>0</v>
      </c>
      <c r="BM17" s="118">
        <f>'Data Gaji'!HL17</f>
        <v>0</v>
      </c>
      <c r="BN17" s="66">
        <f>IF($L17="TER A",VLOOKUP(BM17,TER!$A$5:$D$48,4,TRUE),IF($L17="TER B",VLOOKUP(BM17,TER!$F$5:$I$44,4,TRUE),IF($L17="TER C",VLOOKUP(BM17,TER!$K$5:$N$45,4,TRUE),0)))</f>
        <v>0</v>
      </c>
      <c r="BO17" s="61">
        <f t="shared" si="22"/>
        <v>0</v>
      </c>
      <c r="BP17" s="92">
        <f t="shared" si="23"/>
        <v>0</v>
      </c>
      <c r="BQ17" s="66">
        <f>IF($L17="TER A",VLOOKUP(BM17,TER!$A$5:$D$48,4,TRUE),IF($L17="TER B",VLOOKUP(BM17,TER!$F$5:$I$44,4,TRUE),IF($L17="TER C",VLOOKUP(BM17,TER!$K$5:$N$45,4,TRUE),0)))</f>
        <v>0</v>
      </c>
      <c r="BR17" s="98">
        <f t="shared" si="24"/>
        <v>0</v>
      </c>
      <c r="BT17" s="118">
        <f>'Data Gaji'!IL17</f>
        <v>0</v>
      </c>
      <c r="BU17" s="66">
        <f>IF($L17="TER A",VLOOKUP(BT17,TER!$A$5:$D$48,4,TRUE),IF($L17="TER B",VLOOKUP(BT17,TER!$F$5:$I$44,4,TRUE),IF($L17="TER C",VLOOKUP(BT17,TER!$K$5:$N$45,4,TRUE),0)))</f>
        <v>0</v>
      </c>
      <c r="BV17" s="61">
        <f t="shared" si="25"/>
        <v>0</v>
      </c>
      <c r="BW17" s="92">
        <f t="shared" si="26"/>
        <v>0</v>
      </c>
      <c r="BX17" s="66">
        <f>IF($L17="TER A",VLOOKUP(BT17,TER!$A$5:$D$48,4,TRUE),IF($L17="TER B",VLOOKUP(BT17,TER!$F$5:$I$44,4,TRUE),IF($L17="TER C",VLOOKUP(BT17,TER!$K$5:$N$45,4,TRUE),0)))</f>
        <v>0</v>
      </c>
      <c r="BY17" s="98">
        <f t="shared" si="27"/>
        <v>0</v>
      </c>
      <c r="CA17" s="118">
        <f>'Data Gaji'!JL17</f>
        <v>0</v>
      </c>
      <c r="CB17" s="66">
        <f>IF($L17="TER A",VLOOKUP(CA17,TER!$A$5:$D$48,4,TRUE),IF($L17="TER B",VLOOKUP(CA17,TER!$F$5:$I$44,4,TRUE),IF($L17="TER C",VLOOKUP(CA17,TER!$K$5:$N$45,4,TRUE),0)))</f>
        <v>0</v>
      </c>
      <c r="CC17" s="61">
        <f t="shared" si="28"/>
        <v>0</v>
      </c>
      <c r="CD17" s="92">
        <f t="shared" si="29"/>
        <v>0</v>
      </c>
      <c r="CE17" s="66">
        <f>IF($L17="TER A",VLOOKUP(CA17,TER!$A$5:$D$48,4,TRUE),IF($L17="TER B",VLOOKUP(CA17,TER!$F$5:$I$44,4,TRUE),IF($L17="TER C",VLOOKUP(CA17,TER!$K$5:$N$45,4,TRUE),0)))</f>
        <v>0</v>
      </c>
      <c r="CF17" s="98">
        <f t="shared" si="30"/>
        <v>0</v>
      </c>
      <c r="CH17" s="118">
        <f>'Data Gaji'!KL17</f>
        <v>0</v>
      </c>
      <c r="CI17" s="66">
        <f>IF($L17="TER A",VLOOKUP(CH17,TER!$A$5:$D$48,4,TRUE),IF($L17="TER B",VLOOKUP(CH17,TER!$F$5:$I$44,4,TRUE),IF($L17="TER C",VLOOKUP(CH17,TER!$K$5:$N$45,4,TRUE),0)))</f>
        <v>0</v>
      </c>
      <c r="CJ17" s="61">
        <f t="shared" si="31"/>
        <v>0</v>
      </c>
      <c r="CK17" s="92">
        <f t="shared" si="32"/>
        <v>0</v>
      </c>
      <c r="CL17" s="66">
        <f>IF($L17="TER A",VLOOKUP(CH17,TER!$A$5:$D$48,4,TRUE),IF($L17="TER B",VLOOKUP(CH17,TER!$F$5:$I$44,4,TRUE),IF($L17="TER C",VLOOKUP(CH17,TER!$K$5:$N$45,4,TRUE),0)))</f>
        <v>0</v>
      </c>
      <c r="CM17" s="98">
        <f t="shared" si="33"/>
        <v>0</v>
      </c>
      <c r="CO17" s="118">
        <f>'Data Gaji'!LL17</f>
        <v>0</v>
      </c>
      <c r="CP17" s="66">
        <f>IF($L17="TER A",VLOOKUP(CO17,TER!$A$5:$D$48,4,TRUE),IF($L17="TER B",VLOOKUP(CO17,TER!$F$5:$I$44,4,TRUE),IF($L17="TER C",VLOOKUP(CO17,TER!$K$5:$N$45,4,TRUE),0)))</f>
        <v>0</v>
      </c>
      <c r="CQ17" s="61">
        <f t="shared" si="34"/>
        <v>0</v>
      </c>
      <c r="CR17" s="92">
        <f t="shared" si="35"/>
        <v>0</v>
      </c>
      <c r="CS17" s="66">
        <f>IF($L17="TER A",VLOOKUP(CO17,TER!$A$5:$D$48,4,TRUE),IF($L17="TER B",VLOOKUP(CO17,TER!$F$5:$I$44,4,TRUE),IF($L17="TER C",VLOOKUP(CO17,TER!$K$5:$N$45,4,TRUE),0)))</f>
        <v>0</v>
      </c>
      <c r="CT17" s="98">
        <f t="shared" si="36"/>
        <v>0</v>
      </c>
    </row>
    <row r="18" spans="1:98" x14ac:dyDescent="0.35">
      <c r="A18" s="52">
        <f t="shared" si="0"/>
        <v>12</v>
      </c>
      <c r="B18" s="69"/>
      <c r="C18" s="73"/>
      <c r="D18" s="55"/>
      <c r="E18" s="281"/>
      <c r="F18" s="272"/>
      <c r="G18" s="277"/>
      <c r="H18" s="272"/>
      <c r="I18" s="272"/>
      <c r="J18" s="54"/>
      <c r="K18" s="272">
        <f>'Data Gaji'!K18</f>
        <v>0</v>
      </c>
      <c r="L18" s="67" t="str">
        <f>IF(ISNA(VLOOKUP(K18,'PTKP &amp; TARIF'!$D$4:$E$11,2,0)),"",VLOOKUP(K18,'PTKP &amp; TARIF'!$D$4:$E$11,2,0))</f>
        <v/>
      </c>
      <c r="M18" s="9"/>
      <c r="N18" s="9"/>
      <c r="O18" s="115" t="s">
        <v>92</v>
      </c>
      <c r="P18" s="118">
        <f>'Data Gaji'!AL18</f>
        <v>0</v>
      </c>
      <c r="Q18" s="66">
        <f>IF($L18="TER A",VLOOKUP(P18,TER!$A$5:$D$48,4,TRUE),IF($L18="TER B",VLOOKUP(P18,TER!$F$5:$I$44,4,TRUE),IF($L18="TER C",VLOOKUP(P18,TER!$K$5:$N$45,4,TRUE),0)))</f>
        <v>0</v>
      </c>
      <c r="R18" s="61">
        <f t="shared" ref="R18:R23" si="37">IF($O18="Ya",P18*Q18,0)</f>
        <v>0</v>
      </c>
      <c r="S18" s="92">
        <f t="shared" ref="S18:S23" si="38">P18+R18</f>
        <v>0</v>
      </c>
      <c r="T18" s="66">
        <f>IF($L18="TER A",VLOOKUP(P18,TER!$A$5:$D$48,4,TRUE),IF($L18="TER B",VLOOKUP(P18,TER!$F$5:$I$44,4,TRUE),IF($L18="TER C",VLOOKUP(P18,TER!$K$5:$N$45,4,TRUE),0)))</f>
        <v>0</v>
      </c>
      <c r="U18" s="98">
        <f t="shared" ref="U18:U23" si="39">ROUND(S18*T18,0)</f>
        <v>0</v>
      </c>
      <c r="W18" s="118">
        <f>'Data Gaji'!BL18</f>
        <v>0</v>
      </c>
      <c r="X18" s="66">
        <f>IF($L18="TER A",VLOOKUP(W18,TER!$A$5:$D$48,4,TRUE),IF($L18="TER B",VLOOKUP(W18,TER!$F$5:$I$44,4,TRUE),IF($L18="TER C",VLOOKUP(W18,TER!$K$5:$N$45,4,TRUE),0)))</f>
        <v>0</v>
      </c>
      <c r="Y18" s="61">
        <f t="shared" ref="Y18:Y23" si="40">IF($O18="Ya",W18*X18,0)</f>
        <v>0</v>
      </c>
      <c r="Z18" s="92">
        <f t="shared" ref="Z18:Z23" si="41">W18+Y18</f>
        <v>0</v>
      </c>
      <c r="AA18" s="66">
        <f>IF($L18="TER A",VLOOKUP(W18,TER!$A$5:$D$48,4,TRUE),IF($L18="TER B",VLOOKUP(W18,TER!$F$5:$I$44,4,TRUE),IF($L18="TER C",VLOOKUP(W18,TER!$K$5:$N$45,4,TRUE),0)))</f>
        <v>0</v>
      </c>
      <c r="AB18" s="98">
        <f t="shared" ref="AB18:AB23" si="42">ROUND(Z18*AA18,0)</f>
        <v>0</v>
      </c>
      <c r="AD18" s="118">
        <f>'Data Gaji'!CL18</f>
        <v>0</v>
      </c>
      <c r="AE18" s="66">
        <f>IF($L18="TER A",VLOOKUP(AD18,TER!$A$5:$D$48,4,TRUE),IF($L18="TER B",VLOOKUP(AD18,TER!$F$5:$I$44,4,TRUE),IF($L18="TER C",VLOOKUP(AD18,TER!$K$5:$N$45,4,TRUE),0)))</f>
        <v>0</v>
      </c>
      <c r="AF18" s="61">
        <f t="shared" ref="AF18:AF23" si="43">IF($O18="Ya",AD18*AE18,0)</f>
        <v>0</v>
      </c>
      <c r="AG18" s="92">
        <f t="shared" ref="AG18:AG23" si="44">AD18+AF18</f>
        <v>0</v>
      </c>
      <c r="AH18" s="66">
        <f>IF($L18="TER A",VLOOKUP(AD18,TER!$A$5:$D$48,4,TRUE),IF($L18="TER B",VLOOKUP(AD18,TER!$F$5:$I$44,4,TRUE),IF($L18="TER C",VLOOKUP(AD18,TER!$K$5:$N$45,4,TRUE),0)))</f>
        <v>0</v>
      </c>
      <c r="AI18" s="98">
        <f t="shared" ref="AI18:AI23" si="45">ROUND(AG18*AH18,0)</f>
        <v>0</v>
      </c>
      <c r="AK18" s="118">
        <f>'Data Gaji'!DL18</f>
        <v>0</v>
      </c>
      <c r="AL18" s="66">
        <f>IF($L18="TER A",VLOOKUP(AK18,TER!$A$5:$D$48,4,TRUE),IF($L18="TER B",VLOOKUP(AK18,TER!$F$5:$I$44,4,TRUE),IF($L18="TER C",VLOOKUP(AK18,TER!$K$5:$N$45,4,TRUE),0)))</f>
        <v>0</v>
      </c>
      <c r="AM18" s="61">
        <f t="shared" ref="AM18:AM23" si="46">IF($O18="Ya",AK18*AL18,0)</f>
        <v>0</v>
      </c>
      <c r="AN18" s="92">
        <f t="shared" ref="AN18:AN23" si="47">AK18+AM18</f>
        <v>0</v>
      </c>
      <c r="AO18" s="66">
        <f>IF($L18="TER A",VLOOKUP(AK18,TER!$A$5:$D$48,4,TRUE),IF($L18="TER B",VLOOKUP(AK18,TER!$F$5:$I$44,4,TRUE),IF($L18="TER C",VLOOKUP(AK18,TER!$K$5:$N$45,4,TRUE),0)))</f>
        <v>0</v>
      </c>
      <c r="AP18" s="98">
        <f t="shared" ref="AP18:AP23" si="48">ROUND(AN18*AO18,0)</f>
        <v>0</v>
      </c>
      <c r="AR18" s="118">
        <f>'Data Gaji'!EL18</f>
        <v>0</v>
      </c>
      <c r="AS18" s="66">
        <f>IF($L18="TER A",VLOOKUP(AR18,TER!$A$5:$D$48,4,TRUE),IF($L18="TER B",VLOOKUP(AR18,TER!$F$5:$I$44,4,TRUE),IF($L18="TER C",VLOOKUP(AR18,TER!$K$5:$N$45,4,TRUE),0)))</f>
        <v>0</v>
      </c>
      <c r="AT18" s="61">
        <f t="shared" ref="AT18:AT23" si="49">IF($O18="Ya",AR18*AS18,0)</f>
        <v>0</v>
      </c>
      <c r="AU18" s="92">
        <f t="shared" ref="AU18:AU23" si="50">AR18+AT18</f>
        <v>0</v>
      </c>
      <c r="AV18" s="66">
        <f>IF($L18="TER A",VLOOKUP(AR18,TER!$A$5:$D$48,4,TRUE),IF($L18="TER B",VLOOKUP(AR18,TER!$F$5:$I$44,4,TRUE),IF($L18="TER C",VLOOKUP(AR18,TER!$K$5:$N$45,4,TRUE),0)))</f>
        <v>0</v>
      </c>
      <c r="AW18" s="98">
        <f t="shared" ref="AW18:AW23" si="51">ROUND(AU18*AV18,0)</f>
        <v>0</v>
      </c>
      <c r="AY18" s="118">
        <f>'Data Gaji'!FL18</f>
        <v>0</v>
      </c>
      <c r="AZ18" s="66">
        <f>IF($L18="TER A",VLOOKUP(AY18,TER!$A$5:$D$48,4,TRUE),IF($L18="TER B",VLOOKUP(AY18,TER!$F$5:$I$44,4,TRUE),IF($L18="TER C",VLOOKUP(AY18,TER!$K$5:$N$45,4,TRUE),0)))</f>
        <v>0</v>
      </c>
      <c r="BA18" s="61">
        <f t="shared" ref="BA18:BA23" si="52">IF($O18="Ya",AY18*AZ18,0)</f>
        <v>0</v>
      </c>
      <c r="BB18" s="92">
        <f t="shared" ref="BB18:BB23" si="53">AY18+BA18</f>
        <v>0</v>
      </c>
      <c r="BC18" s="66">
        <f>IF($L18="TER A",VLOOKUP(AY18,TER!$A$5:$D$48,4,TRUE),IF($L18="TER B",VLOOKUP(AY18,TER!$F$5:$I$44,4,TRUE),IF($L18="TER C",VLOOKUP(AY18,TER!$K$5:$N$45,4,TRUE),0)))</f>
        <v>0</v>
      </c>
      <c r="BD18" s="98">
        <f t="shared" ref="BD18:BD23" si="54">ROUND(BB18*BC18,0)</f>
        <v>0</v>
      </c>
      <c r="BF18" s="118">
        <f>'Data Gaji'!GL18</f>
        <v>0</v>
      </c>
      <c r="BG18" s="66">
        <f>IF($L18="TER A",VLOOKUP(BF18,TER!$A$5:$D$48,4,TRUE),IF($L18="TER B",VLOOKUP(BF18,TER!$F$5:$I$44,4,TRUE),IF($L18="TER C",VLOOKUP(BF18,TER!$K$5:$N$45,4,TRUE),0)))</f>
        <v>0</v>
      </c>
      <c r="BH18" s="61">
        <f t="shared" ref="BH18:BH23" si="55">IF($O18="Ya",BF18*BG18,0)</f>
        <v>0</v>
      </c>
      <c r="BI18" s="92">
        <f t="shared" ref="BI18:BI23" si="56">BF18+BH18</f>
        <v>0</v>
      </c>
      <c r="BJ18" s="66">
        <f>IF($L18="TER A",VLOOKUP(BF18,TER!$A$5:$D$48,4,TRUE),IF($L18="TER B",VLOOKUP(BF18,TER!$F$5:$I$44,4,TRUE),IF($L18="TER C",VLOOKUP(BF18,TER!$K$5:$N$45,4,TRUE),0)))</f>
        <v>0</v>
      </c>
      <c r="BK18" s="98">
        <f t="shared" ref="BK18:BK23" si="57">ROUND(BI18*BJ18,0)</f>
        <v>0</v>
      </c>
      <c r="BM18" s="118">
        <f>'Data Gaji'!HL18</f>
        <v>0</v>
      </c>
      <c r="BN18" s="66">
        <f>IF($L18="TER A",VLOOKUP(BM18,TER!$A$5:$D$48,4,TRUE),IF($L18="TER B",VLOOKUP(BM18,TER!$F$5:$I$44,4,TRUE),IF($L18="TER C",VLOOKUP(BM18,TER!$K$5:$N$45,4,TRUE),0)))</f>
        <v>0</v>
      </c>
      <c r="BO18" s="61">
        <f t="shared" ref="BO18:BO23" si="58">IF($O18="Ya",BM18*BN18,0)</f>
        <v>0</v>
      </c>
      <c r="BP18" s="92">
        <f t="shared" ref="BP18:BP23" si="59">BM18+BO18</f>
        <v>0</v>
      </c>
      <c r="BQ18" s="66">
        <f>IF($L18="TER A",VLOOKUP(BM18,TER!$A$5:$D$48,4,TRUE),IF($L18="TER B",VLOOKUP(BM18,TER!$F$5:$I$44,4,TRUE),IF($L18="TER C",VLOOKUP(BM18,TER!$K$5:$N$45,4,TRUE),0)))</f>
        <v>0</v>
      </c>
      <c r="BR18" s="98">
        <f t="shared" ref="BR18:BR23" si="60">ROUND(BP18*BQ18,0)</f>
        <v>0</v>
      </c>
      <c r="BT18" s="118">
        <f>'Data Gaji'!IL18</f>
        <v>0</v>
      </c>
      <c r="BU18" s="66">
        <f>IF($L18="TER A",VLOOKUP(BT18,TER!$A$5:$D$48,4,TRUE),IF($L18="TER B",VLOOKUP(BT18,TER!$F$5:$I$44,4,TRUE),IF($L18="TER C",VLOOKUP(BT18,TER!$K$5:$N$45,4,TRUE),0)))</f>
        <v>0</v>
      </c>
      <c r="BV18" s="61">
        <f t="shared" ref="BV18:BV23" si="61">IF($O18="Ya",BT18*BU18,0)</f>
        <v>0</v>
      </c>
      <c r="BW18" s="92">
        <f t="shared" ref="BW18:BW23" si="62">BT18+BV18</f>
        <v>0</v>
      </c>
      <c r="BX18" s="66">
        <f>IF($L18="TER A",VLOOKUP(BT18,TER!$A$5:$D$48,4,TRUE),IF($L18="TER B",VLOOKUP(BT18,TER!$F$5:$I$44,4,TRUE),IF($L18="TER C",VLOOKUP(BT18,TER!$K$5:$N$45,4,TRUE),0)))</f>
        <v>0</v>
      </c>
      <c r="BY18" s="98">
        <f t="shared" ref="BY18:BY23" si="63">ROUND(BW18*BX18,0)</f>
        <v>0</v>
      </c>
      <c r="CA18" s="118">
        <f>'Data Gaji'!JL18</f>
        <v>0</v>
      </c>
      <c r="CB18" s="66">
        <f>IF($L18="TER A",VLOOKUP(CA18,TER!$A$5:$D$48,4,TRUE),IF($L18="TER B",VLOOKUP(CA18,TER!$F$5:$I$44,4,TRUE),IF($L18="TER C",VLOOKUP(CA18,TER!$K$5:$N$45,4,TRUE),0)))</f>
        <v>0</v>
      </c>
      <c r="CC18" s="61">
        <f t="shared" ref="CC18:CC23" si="64">IF($O18="Ya",CA18*CB18,0)</f>
        <v>0</v>
      </c>
      <c r="CD18" s="92">
        <f t="shared" ref="CD18:CD23" si="65">CA18+CC18</f>
        <v>0</v>
      </c>
      <c r="CE18" s="66">
        <f>IF($L18="TER A",VLOOKUP(CA18,TER!$A$5:$D$48,4,TRUE),IF($L18="TER B",VLOOKUP(CA18,TER!$F$5:$I$44,4,TRUE),IF($L18="TER C",VLOOKUP(CA18,TER!$K$5:$N$45,4,TRUE),0)))</f>
        <v>0</v>
      </c>
      <c r="CF18" s="98">
        <f t="shared" ref="CF18:CF23" si="66">ROUND(CD18*CE18,0)</f>
        <v>0</v>
      </c>
      <c r="CH18" s="118">
        <f>'Data Gaji'!KL18</f>
        <v>0</v>
      </c>
      <c r="CI18" s="66">
        <f>IF($L18="TER A",VLOOKUP(CH18,TER!$A$5:$D$48,4,TRUE),IF($L18="TER B",VLOOKUP(CH18,TER!$F$5:$I$44,4,TRUE),IF($L18="TER C",VLOOKUP(CH18,TER!$K$5:$N$45,4,TRUE),0)))</f>
        <v>0</v>
      </c>
      <c r="CJ18" s="61">
        <f t="shared" ref="CJ18:CJ23" si="67">IF($O18="Ya",CH18*CI18,0)</f>
        <v>0</v>
      </c>
      <c r="CK18" s="92">
        <f t="shared" ref="CK18:CK23" si="68">CH18+CJ18</f>
        <v>0</v>
      </c>
      <c r="CL18" s="66">
        <f>IF($L18="TER A",VLOOKUP(CH18,TER!$A$5:$D$48,4,TRUE),IF($L18="TER B",VLOOKUP(CH18,TER!$F$5:$I$44,4,TRUE),IF($L18="TER C",VLOOKUP(CH18,TER!$K$5:$N$45,4,TRUE),0)))</f>
        <v>0</v>
      </c>
      <c r="CM18" s="98">
        <f t="shared" ref="CM18:CM23" si="69">ROUND(CK18*CL18,0)</f>
        <v>0</v>
      </c>
      <c r="CO18" s="118">
        <f>'Data Gaji'!LL18</f>
        <v>0</v>
      </c>
      <c r="CP18" s="66">
        <f>IF($L18="TER A",VLOOKUP(CO18,TER!$A$5:$D$48,4,TRUE),IF($L18="TER B",VLOOKUP(CO18,TER!$F$5:$I$44,4,TRUE),IF($L18="TER C",VLOOKUP(CO18,TER!$K$5:$N$45,4,TRUE),0)))</f>
        <v>0</v>
      </c>
      <c r="CQ18" s="61">
        <f t="shared" ref="CQ18:CQ23" si="70">IF($O18="Ya",CO18*CP18,0)</f>
        <v>0</v>
      </c>
      <c r="CR18" s="92">
        <f t="shared" ref="CR18:CR23" si="71">CO18+CQ18</f>
        <v>0</v>
      </c>
      <c r="CS18" s="66">
        <f>IF($L18="TER A",VLOOKUP(CO18,TER!$A$5:$D$48,4,TRUE),IF($L18="TER B",VLOOKUP(CO18,TER!$F$5:$I$44,4,TRUE),IF($L18="TER C",VLOOKUP(CO18,TER!$K$5:$N$45,4,TRUE),0)))</f>
        <v>0</v>
      </c>
      <c r="CT18" s="98">
        <f t="shared" ref="CT18:CT23" si="72">CR18*CS18</f>
        <v>0</v>
      </c>
    </row>
    <row r="19" spans="1:98" x14ac:dyDescent="0.35">
      <c r="A19" s="52">
        <f t="shared" si="0"/>
        <v>13</v>
      </c>
      <c r="B19" s="69"/>
      <c r="C19" s="73"/>
      <c r="D19" s="55"/>
      <c r="E19" s="281"/>
      <c r="F19" s="272"/>
      <c r="G19" s="277"/>
      <c r="H19" s="272"/>
      <c r="I19" s="272"/>
      <c r="J19" s="54"/>
      <c r="K19" s="272">
        <f>'Data Gaji'!K19</f>
        <v>0</v>
      </c>
      <c r="L19" s="67" t="str">
        <f>IF(ISNA(VLOOKUP(K19,'PTKP &amp; TARIF'!$D$4:$E$11,2,0)),"",VLOOKUP(K19,'PTKP &amp; TARIF'!$D$4:$E$11,2,0))</f>
        <v/>
      </c>
      <c r="M19" s="9"/>
      <c r="N19" s="9"/>
      <c r="O19" s="115" t="s">
        <v>92</v>
      </c>
      <c r="P19" s="118">
        <f>'Data Gaji'!AL19</f>
        <v>0</v>
      </c>
      <c r="Q19" s="66">
        <f>IF($L19="TER A",VLOOKUP(P19,TER!$A$5:$D$48,4,TRUE),IF($L19="TER B",VLOOKUP(P19,TER!$F$5:$I$44,4,TRUE),IF($L19="TER C",VLOOKUP(P19,TER!$K$5:$N$45,4,TRUE),0)))</f>
        <v>0</v>
      </c>
      <c r="R19" s="61">
        <f t="shared" si="37"/>
        <v>0</v>
      </c>
      <c r="S19" s="92">
        <f t="shared" si="38"/>
        <v>0</v>
      </c>
      <c r="T19" s="66">
        <f>IF($L19="TER A",VLOOKUP(P19,TER!$A$5:$D$48,4,TRUE),IF($L19="TER B",VLOOKUP(P19,TER!$F$5:$I$44,4,TRUE),IF($L19="TER C",VLOOKUP(P19,TER!$K$5:$N$45,4,TRUE),0)))</f>
        <v>0</v>
      </c>
      <c r="U19" s="98">
        <f t="shared" si="39"/>
        <v>0</v>
      </c>
      <c r="W19" s="118">
        <f>'Data Gaji'!BL19</f>
        <v>0</v>
      </c>
      <c r="X19" s="66">
        <f>IF($L19="TER A",VLOOKUP(W19,TER!$A$5:$D$48,4,TRUE),IF($L19="TER B",VLOOKUP(W19,TER!$F$5:$I$44,4,TRUE),IF($L19="TER C",VLOOKUP(W19,TER!$K$5:$N$45,4,TRUE),0)))</f>
        <v>0</v>
      </c>
      <c r="Y19" s="61">
        <f t="shared" si="40"/>
        <v>0</v>
      </c>
      <c r="Z19" s="92">
        <f t="shared" si="41"/>
        <v>0</v>
      </c>
      <c r="AA19" s="66">
        <f>IF($L19="TER A",VLOOKUP(W19,TER!$A$5:$D$48,4,TRUE),IF($L19="TER B",VLOOKUP(W19,TER!$F$5:$I$44,4,TRUE),IF($L19="TER C",VLOOKUP(W19,TER!$K$5:$N$45,4,TRUE),0)))</f>
        <v>0</v>
      </c>
      <c r="AB19" s="98">
        <f t="shared" si="42"/>
        <v>0</v>
      </c>
      <c r="AD19" s="118">
        <f>'Data Gaji'!CL19</f>
        <v>0</v>
      </c>
      <c r="AE19" s="66">
        <f>IF($L19="TER A",VLOOKUP(AD19,TER!$A$5:$D$48,4,TRUE),IF($L19="TER B",VLOOKUP(AD19,TER!$F$5:$I$44,4,TRUE),IF($L19="TER C",VLOOKUP(AD19,TER!$K$5:$N$45,4,TRUE),0)))</f>
        <v>0</v>
      </c>
      <c r="AF19" s="61">
        <f t="shared" si="43"/>
        <v>0</v>
      </c>
      <c r="AG19" s="92">
        <f t="shared" si="44"/>
        <v>0</v>
      </c>
      <c r="AH19" s="66">
        <f>IF($L19="TER A",VLOOKUP(AD19,TER!$A$5:$D$48,4,TRUE),IF($L19="TER B",VLOOKUP(AD19,TER!$F$5:$I$44,4,TRUE),IF($L19="TER C",VLOOKUP(AD19,TER!$K$5:$N$45,4,TRUE),0)))</f>
        <v>0</v>
      </c>
      <c r="AI19" s="98">
        <f t="shared" si="45"/>
        <v>0</v>
      </c>
      <c r="AK19" s="118">
        <f>'Data Gaji'!DL19</f>
        <v>0</v>
      </c>
      <c r="AL19" s="66">
        <f>IF($L19="TER A",VLOOKUP(AK19,TER!$A$5:$D$48,4,TRUE),IF($L19="TER B",VLOOKUP(AK19,TER!$F$5:$I$44,4,TRUE),IF($L19="TER C",VLOOKUP(AK19,TER!$K$5:$N$45,4,TRUE),0)))</f>
        <v>0</v>
      </c>
      <c r="AM19" s="61">
        <f t="shared" si="46"/>
        <v>0</v>
      </c>
      <c r="AN19" s="92">
        <f t="shared" si="47"/>
        <v>0</v>
      </c>
      <c r="AO19" s="66">
        <f>IF($L19="TER A",VLOOKUP(AK19,TER!$A$5:$D$48,4,TRUE),IF($L19="TER B",VLOOKUP(AK19,TER!$F$5:$I$44,4,TRUE),IF($L19="TER C",VLOOKUP(AK19,TER!$K$5:$N$45,4,TRUE),0)))</f>
        <v>0</v>
      </c>
      <c r="AP19" s="98">
        <f t="shared" si="48"/>
        <v>0</v>
      </c>
      <c r="AR19" s="118">
        <f>'Data Gaji'!EL19</f>
        <v>0</v>
      </c>
      <c r="AS19" s="66">
        <f>IF($L19="TER A",VLOOKUP(AR19,TER!$A$5:$D$48,4,TRUE),IF($L19="TER B",VLOOKUP(AR19,TER!$F$5:$I$44,4,TRUE),IF($L19="TER C",VLOOKUP(AR19,TER!$K$5:$N$45,4,TRUE),0)))</f>
        <v>0</v>
      </c>
      <c r="AT19" s="61">
        <f t="shared" si="49"/>
        <v>0</v>
      </c>
      <c r="AU19" s="92">
        <f t="shared" si="50"/>
        <v>0</v>
      </c>
      <c r="AV19" s="66">
        <f>IF($L19="TER A",VLOOKUP(AR19,TER!$A$5:$D$48,4,TRUE),IF($L19="TER B",VLOOKUP(AR19,TER!$F$5:$I$44,4,TRUE),IF($L19="TER C",VLOOKUP(AR19,TER!$K$5:$N$45,4,TRUE),0)))</f>
        <v>0</v>
      </c>
      <c r="AW19" s="98">
        <f t="shared" si="51"/>
        <v>0</v>
      </c>
      <c r="AY19" s="118">
        <f>'Data Gaji'!FL19</f>
        <v>0</v>
      </c>
      <c r="AZ19" s="66">
        <f>IF($L19="TER A",VLOOKUP(AY19,TER!$A$5:$D$48,4,TRUE),IF($L19="TER B",VLOOKUP(AY19,TER!$F$5:$I$44,4,TRUE),IF($L19="TER C",VLOOKUP(AY19,TER!$K$5:$N$45,4,TRUE),0)))</f>
        <v>0</v>
      </c>
      <c r="BA19" s="61">
        <f t="shared" si="52"/>
        <v>0</v>
      </c>
      <c r="BB19" s="92">
        <f t="shared" si="53"/>
        <v>0</v>
      </c>
      <c r="BC19" s="66">
        <f>IF($L19="TER A",VLOOKUP(AY19,TER!$A$5:$D$48,4,TRUE),IF($L19="TER B",VLOOKUP(AY19,TER!$F$5:$I$44,4,TRUE),IF($L19="TER C",VLOOKUP(AY19,TER!$K$5:$N$45,4,TRUE),0)))</f>
        <v>0</v>
      </c>
      <c r="BD19" s="98">
        <f t="shared" si="54"/>
        <v>0</v>
      </c>
      <c r="BF19" s="118">
        <f>'Data Gaji'!GL19</f>
        <v>0</v>
      </c>
      <c r="BG19" s="66">
        <f>IF($L19="TER A",VLOOKUP(BF19,TER!$A$5:$D$48,4,TRUE),IF($L19="TER B",VLOOKUP(BF19,TER!$F$5:$I$44,4,TRUE),IF($L19="TER C",VLOOKUP(BF19,TER!$K$5:$N$45,4,TRUE),0)))</f>
        <v>0</v>
      </c>
      <c r="BH19" s="61">
        <f t="shared" si="55"/>
        <v>0</v>
      </c>
      <c r="BI19" s="92">
        <f t="shared" si="56"/>
        <v>0</v>
      </c>
      <c r="BJ19" s="66">
        <f>IF($L19="TER A",VLOOKUP(BF19,TER!$A$5:$D$48,4,TRUE),IF($L19="TER B",VLOOKUP(BF19,TER!$F$5:$I$44,4,TRUE),IF($L19="TER C",VLOOKUP(BF19,TER!$K$5:$N$45,4,TRUE),0)))</f>
        <v>0</v>
      </c>
      <c r="BK19" s="98">
        <f t="shared" si="57"/>
        <v>0</v>
      </c>
      <c r="BM19" s="118">
        <f>'Data Gaji'!HL19</f>
        <v>0</v>
      </c>
      <c r="BN19" s="66">
        <f>IF($L19="TER A",VLOOKUP(BM19,TER!$A$5:$D$48,4,TRUE),IF($L19="TER B",VLOOKUP(BM19,TER!$F$5:$I$44,4,TRUE),IF($L19="TER C",VLOOKUP(BM19,TER!$K$5:$N$45,4,TRUE),0)))</f>
        <v>0</v>
      </c>
      <c r="BO19" s="61">
        <f t="shared" si="58"/>
        <v>0</v>
      </c>
      <c r="BP19" s="92">
        <f t="shared" si="59"/>
        <v>0</v>
      </c>
      <c r="BQ19" s="66">
        <f>IF($L19="TER A",VLOOKUP(BM19,TER!$A$5:$D$48,4,TRUE),IF($L19="TER B",VLOOKUP(BM19,TER!$F$5:$I$44,4,TRUE),IF($L19="TER C",VLOOKUP(BM19,TER!$K$5:$N$45,4,TRUE),0)))</f>
        <v>0</v>
      </c>
      <c r="BR19" s="98">
        <f t="shared" si="60"/>
        <v>0</v>
      </c>
      <c r="BT19" s="118">
        <f>'Data Gaji'!IL19</f>
        <v>0</v>
      </c>
      <c r="BU19" s="66">
        <f>IF($L19="TER A",VLOOKUP(BT19,TER!$A$5:$D$48,4,TRUE),IF($L19="TER B",VLOOKUP(BT19,TER!$F$5:$I$44,4,TRUE),IF($L19="TER C",VLOOKUP(BT19,TER!$K$5:$N$45,4,TRUE),0)))</f>
        <v>0</v>
      </c>
      <c r="BV19" s="61">
        <f t="shared" si="61"/>
        <v>0</v>
      </c>
      <c r="BW19" s="92">
        <f t="shared" si="62"/>
        <v>0</v>
      </c>
      <c r="BX19" s="66">
        <f>IF($L19="TER A",VLOOKUP(BT19,TER!$A$5:$D$48,4,TRUE),IF($L19="TER B",VLOOKUP(BT19,TER!$F$5:$I$44,4,TRUE),IF($L19="TER C",VLOOKUP(BT19,TER!$K$5:$N$45,4,TRUE),0)))</f>
        <v>0</v>
      </c>
      <c r="BY19" s="98">
        <f t="shared" si="63"/>
        <v>0</v>
      </c>
      <c r="CA19" s="118">
        <f>'Data Gaji'!JL19</f>
        <v>0</v>
      </c>
      <c r="CB19" s="66">
        <f>IF($L19="TER A",VLOOKUP(CA19,TER!$A$5:$D$48,4,TRUE),IF($L19="TER B",VLOOKUP(CA19,TER!$F$5:$I$44,4,TRUE),IF($L19="TER C",VLOOKUP(CA19,TER!$K$5:$N$45,4,TRUE),0)))</f>
        <v>0</v>
      </c>
      <c r="CC19" s="61">
        <f t="shared" si="64"/>
        <v>0</v>
      </c>
      <c r="CD19" s="92">
        <f t="shared" si="65"/>
        <v>0</v>
      </c>
      <c r="CE19" s="66">
        <f>IF($L19="TER A",VLOOKUP(CA19,TER!$A$5:$D$48,4,TRUE),IF($L19="TER B",VLOOKUP(CA19,TER!$F$5:$I$44,4,TRUE),IF($L19="TER C",VLOOKUP(CA19,TER!$K$5:$N$45,4,TRUE),0)))</f>
        <v>0</v>
      </c>
      <c r="CF19" s="98">
        <f t="shared" si="66"/>
        <v>0</v>
      </c>
      <c r="CH19" s="118">
        <f>'Data Gaji'!KL19</f>
        <v>0</v>
      </c>
      <c r="CI19" s="66">
        <f>IF($L19="TER A",VLOOKUP(CH19,TER!$A$5:$D$48,4,TRUE),IF($L19="TER B",VLOOKUP(CH19,TER!$F$5:$I$44,4,TRUE),IF($L19="TER C",VLOOKUP(CH19,TER!$K$5:$N$45,4,TRUE),0)))</f>
        <v>0</v>
      </c>
      <c r="CJ19" s="61">
        <f t="shared" si="67"/>
        <v>0</v>
      </c>
      <c r="CK19" s="92">
        <f t="shared" si="68"/>
        <v>0</v>
      </c>
      <c r="CL19" s="66">
        <f>IF($L19="TER A",VLOOKUP(CH19,TER!$A$5:$D$48,4,TRUE),IF($L19="TER B",VLOOKUP(CH19,TER!$F$5:$I$44,4,TRUE),IF($L19="TER C",VLOOKUP(CH19,TER!$K$5:$N$45,4,TRUE),0)))</f>
        <v>0</v>
      </c>
      <c r="CM19" s="98">
        <f t="shared" si="69"/>
        <v>0</v>
      </c>
      <c r="CO19" s="118">
        <f>'Data Gaji'!LL19</f>
        <v>0</v>
      </c>
      <c r="CP19" s="66">
        <f>IF($L19="TER A",VLOOKUP(CO19,TER!$A$5:$D$48,4,TRUE),IF($L19="TER B",VLOOKUP(CO19,TER!$F$5:$I$44,4,TRUE),IF($L19="TER C",VLOOKUP(CO19,TER!$K$5:$N$45,4,TRUE),0)))</f>
        <v>0</v>
      </c>
      <c r="CQ19" s="61">
        <f t="shared" si="70"/>
        <v>0</v>
      </c>
      <c r="CR19" s="92">
        <f t="shared" si="71"/>
        <v>0</v>
      </c>
      <c r="CS19" s="66">
        <f>IF($L19="TER A",VLOOKUP(CO19,TER!$A$5:$D$48,4,TRUE),IF($L19="TER B",VLOOKUP(CO19,TER!$F$5:$I$44,4,TRUE),IF($L19="TER C",VLOOKUP(CO19,TER!$K$5:$N$45,4,TRUE),0)))</f>
        <v>0</v>
      </c>
      <c r="CT19" s="98">
        <f t="shared" si="72"/>
        <v>0</v>
      </c>
    </row>
    <row r="20" spans="1:98" x14ac:dyDescent="0.35">
      <c r="A20" s="52">
        <f t="shared" si="0"/>
        <v>14</v>
      </c>
      <c r="B20" s="69"/>
      <c r="C20" s="73"/>
      <c r="D20" s="55"/>
      <c r="E20" s="281"/>
      <c r="F20" s="272"/>
      <c r="G20" s="277"/>
      <c r="H20" s="272"/>
      <c r="I20" s="272"/>
      <c r="J20" s="54"/>
      <c r="K20" s="272">
        <f>'Data Gaji'!K20</f>
        <v>0</v>
      </c>
      <c r="L20" s="67" t="str">
        <f>IF(ISNA(VLOOKUP(K20,'PTKP &amp; TARIF'!$D$4:$E$11,2,0)),"",VLOOKUP(K20,'PTKP &amp; TARIF'!$D$4:$E$11,2,0))</f>
        <v/>
      </c>
      <c r="M20" s="9"/>
      <c r="N20" s="9"/>
      <c r="O20" s="115" t="s">
        <v>92</v>
      </c>
      <c r="P20" s="118">
        <f>'Data Gaji'!AL20</f>
        <v>0</v>
      </c>
      <c r="Q20" s="66">
        <f>IF($L20="TER A",VLOOKUP(P20,TER!$A$5:$D$48,4,TRUE),IF($L20="TER B",VLOOKUP(P20,TER!$F$5:$I$44,4,TRUE),IF($L20="TER C",VLOOKUP(P20,TER!$K$5:$N$45,4,TRUE),0)))</f>
        <v>0</v>
      </c>
      <c r="R20" s="61">
        <f t="shared" si="37"/>
        <v>0</v>
      </c>
      <c r="S20" s="92">
        <f t="shared" si="38"/>
        <v>0</v>
      </c>
      <c r="T20" s="66">
        <f>IF($L20="TER A",VLOOKUP(P20,TER!$A$5:$D$48,4,TRUE),IF($L20="TER B",VLOOKUP(P20,TER!$F$5:$I$44,4,TRUE),IF($L20="TER C",VLOOKUP(P20,TER!$K$5:$N$45,4,TRUE),0)))</f>
        <v>0</v>
      </c>
      <c r="U20" s="98">
        <f t="shared" si="39"/>
        <v>0</v>
      </c>
      <c r="W20" s="118">
        <f>'Data Gaji'!BL20</f>
        <v>0</v>
      </c>
      <c r="X20" s="66">
        <f>IF($L20="TER A",VLOOKUP(W20,TER!$A$5:$D$48,4,TRUE),IF($L20="TER B",VLOOKUP(W20,TER!$F$5:$I$44,4,TRUE),IF($L20="TER C",VLOOKUP(W20,TER!$K$5:$N$45,4,TRUE),0)))</f>
        <v>0</v>
      </c>
      <c r="Y20" s="61">
        <f t="shared" si="40"/>
        <v>0</v>
      </c>
      <c r="Z20" s="92">
        <f t="shared" si="41"/>
        <v>0</v>
      </c>
      <c r="AA20" s="66">
        <f>IF($L20="TER A",VLOOKUP(W20,TER!$A$5:$D$48,4,TRUE),IF($L20="TER B",VLOOKUP(W20,TER!$F$5:$I$44,4,TRUE),IF($L20="TER C",VLOOKUP(W20,TER!$K$5:$N$45,4,TRUE),0)))</f>
        <v>0</v>
      </c>
      <c r="AB20" s="98">
        <f t="shared" si="42"/>
        <v>0</v>
      </c>
      <c r="AD20" s="118">
        <f>'Data Gaji'!CL20</f>
        <v>0</v>
      </c>
      <c r="AE20" s="66">
        <f>IF($L20="TER A",VLOOKUP(AD20,TER!$A$5:$D$48,4,TRUE),IF($L20="TER B",VLOOKUP(AD20,TER!$F$5:$I$44,4,TRUE),IF($L20="TER C",VLOOKUP(AD20,TER!$K$5:$N$45,4,TRUE),0)))</f>
        <v>0</v>
      </c>
      <c r="AF20" s="61">
        <f t="shared" si="43"/>
        <v>0</v>
      </c>
      <c r="AG20" s="92">
        <f t="shared" si="44"/>
        <v>0</v>
      </c>
      <c r="AH20" s="66">
        <f>IF($L20="TER A",VLOOKUP(AD20,TER!$A$5:$D$48,4,TRUE),IF($L20="TER B",VLOOKUP(AD20,TER!$F$5:$I$44,4,TRUE),IF($L20="TER C",VLOOKUP(AD20,TER!$K$5:$N$45,4,TRUE),0)))</f>
        <v>0</v>
      </c>
      <c r="AI20" s="98">
        <f t="shared" si="45"/>
        <v>0</v>
      </c>
      <c r="AK20" s="118">
        <f>'Data Gaji'!DL20</f>
        <v>0</v>
      </c>
      <c r="AL20" s="66">
        <f>IF($L20="TER A",VLOOKUP(AK20,TER!$A$5:$D$48,4,TRUE),IF($L20="TER B",VLOOKUP(AK20,TER!$F$5:$I$44,4,TRUE),IF($L20="TER C",VLOOKUP(AK20,TER!$K$5:$N$45,4,TRUE),0)))</f>
        <v>0</v>
      </c>
      <c r="AM20" s="61">
        <f t="shared" si="46"/>
        <v>0</v>
      </c>
      <c r="AN20" s="92">
        <f t="shared" si="47"/>
        <v>0</v>
      </c>
      <c r="AO20" s="66">
        <f>IF($L20="TER A",VLOOKUP(AK20,TER!$A$5:$D$48,4,TRUE),IF($L20="TER B",VLOOKUP(AK20,TER!$F$5:$I$44,4,TRUE),IF($L20="TER C",VLOOKUP(AK20,TER!$K$5:$N$45,4,TRUE),0)))</f>
        <v>0</v>
      </c>
      <c r="AP20" s="98">
        <f t="shared" si="48"/>
        <v>0</v>
      </c>
      <c r="AR20" s="118">
        <f>'Data Gaji'!EL20</f>
        <v>0</v>
      </c>
      <c r="AS20" s="66">
        <f>IF($L20="TER A",VLOOKUP(AR20,TER!$A$5:$D$48,4,TRUE),IF($L20="TER B",VLOOKUP(AR20,TER!$F$5:$I$44,4,TRUE),IF($L20="TER C",VLOOKUP(AR20,TER!$K$5:$N$45,4,TRUE),0)))</f>
        <v>0</v>
      </c>
      <c r="AT20" s="61">
        <f t="shared" si="49"/>
        <v>0</v>
      </c>
      <c r="AU20" s="92">
        <f t="shared" si="50"/>
        <v>0</v>
      </c>
      <c r="AV20" s="66">
        <f>IF($L20="TER A",VLOOKUP(AR20,TER!$A$5:$D$48,4,TRUE),IF($L20="TER B",VLOOKUP(AR20,TER!$F$5:$I$44,4,TRUE),IF($L20="TER C",VLOOKUP(AR20,TER!$K$5:$N$45,4,TRUE),0)))</f>
        <v>0</v>
      </c>
      <c r="AW20" s="98">
        <f t="shared" si="51"/>
        <v>0</v>
      </c>
      <c r="AY20" s="118">
        <f>'Data Gaji'!FL20</f>
        <v>0</v>
      </c>
      <c r="AZ20" s="66">
        <f>IF($L20="TER A",VLOOKUP(AY20,TER!$A$5:$D$48,4,TRUE),IF($L20="TER B",VLOOKUP(AY20,TER!$F$5:$I$44,4,TRUE),IF($L20="TER C",VLOOKUP(AY20,TER!$K$5:$N$45,4,TRUE),0)))</f>
        <v>0</v>
      </c>
      <c r="BA20" s="61">
        <f t="shared" si="52"/>
        <v>0</v>
      </c>
      <c r="BB20" s="92">
        <f t="shared" si="53"/>
        <v>0</v>
      </c>
      <c r="BC20" s="66">
        <f>IF($L20="TER A",VLOOKUP(AY20,TER!$A$5:$D$48,4,TRUE),IF($L20="TER B",VLOOKUP(AY20,TER!$F$5:$I$44,4,TRUE),IF($L20="TER C",VLOOKUP(AY20,TER!$K$5:$N$45,4,TRUE),0)))</f>
        <v>0</v>
      </c>
      <c r="BD20" s="98">
        <f t="shared" si="54"/>
        <v>0</v>
      </c>
      <c r="BF20" s="118">
        <f>'Data Gaji'!GL20</f>
        <v>0</v>
      </c>
      <c r="BG20" s="66">
        <f>IF($L20="TER A",VLOOKUP(BF20,TER!$A$5:$D$48,4,TRUE),IF($L20="TER B",VLOOKUP(BF20,TER!$F$5:$I$44,4,TRUE),IF($L20="TER C",VLOOKUP(BF20,TER!$K$5:$N$45,4,TRUE),0)))</f>
        <v>0</v>
      </c>
      <c r="BH20" s="61">
        <f t="shared" si="55"/>
        <v>0</v>
      </c>
      <c r="BI20" s="92">
        <f t="shared" si="56"/>
        <v>0</v>
      </c>
      <c r="BJ20" s="66">
        <f>IF($L20="TER A",VLOOKUP(BF20,TER!$A$5:$D$48,4,TRUE),IF($L20="TER B",VLOOKUP(BF20,TER!$F$5:$I$44,4,TRUE),IF($L20="TER C",VLOOKUP(BF20,TER!$K$5:$N$45,4,TRUE),0)))</f>
        <v>0</v>
      </c>
      <c r="BK20" s="98">
        <f t="shared" si="57"/>
        <v>0</v>
      </c>
      <c r="BM20" s="118">
        <f>'Data Gaji'!HL20</f>
        <v>0</v>
      </c>
      <c r="BN20" s="66">
        <f>IF($L20="TER A",VLOOKUP(BM20,TER!$A$5:$D$48,4,TRUE),IF($L20="TER B",VLOOKUP(BM20,TER!$F$5:$I$44,4,TRUE),IF($L20="TER C",VLOOKUP(BM20,TER!$K$5:$N$45,4,TRUE),0)))</f>
        <v>0</v>
      </c>
      <c r="BO20" s="61">
        <f t="shared" si="58"/>
        <v>0</v>
      </c>
      <c r="BP20" s="92">
        <f t="shared" si="59"/>
        <v>0</v>
      </c>
      <c r="BQ20" s="66">
        <f>IF($L20="TER A",VLOOKUP(BM20,TER!$A$5:$D$48,4,TRUE),IF($L20="TER B",VLOOKUP(BM20,TER!$F$5:$I$44,4,TRUE),IF($L20="TER C",VLOOKUP(BM20,TER!$K$5:$N$45,4,TRUE),0)))</f>
        <v>0</v>
      </c>
      <c r="BR20" s="98">
        <f t="shared" si="60"/>
        <v>0</v>
      </c>
      <c r="BT20" s="118">
        <f>'Data Gaji'!IL20</f>
        <v>0</v>
      </c>
      <c r="BU20" s="66">
        <f>IF($L20="TER A",VLOOKUP(BT20,TER!$A$5:$D$48,4,TRUE),IF($L20="TER B",VLOOKUP(BT20,TER!$F$5:$I$44,4,TRUE),IF($L20="TER C",VLOOKUP(BT20,TER!$K$5:$N$45,4,TRUE),0)))</f>
        <v>0</v>
      </c>
      <c r="BV20" s="61">
        <f t="shared" si="61"/>
        <v>0</v>
      </c>
      <c r="BW20" s="92">
        <f t="shared" si="62"/>
        <v>0</v>
      </c>
      <c r="BX20" s="66">
        <f>IF($L20="TER A",VLOOKUP(BT20,TER!$A$5:$D$48,4,TRUE),IF($L20="TER B",VLOOKUP(BT20,TER!$F$5:$I$44,4,TRUE),IF($L20="TER C",VLOOKUP(BT20,TER!$K$5:$N$45,4,TRUE),0)))</f>
        <v>0</v>
      </c>
      <c r="BY20" s="98">
        <f t="shared" si="63"/>
        <v>0</v>
      </c>
      <c r="CA20" s="118">
        <f>'Data Gaji'!JL20</f>
        <v>0</v>
      </c>
      <c r="CB20" s="66">
        <f>IF($L20="TER A",VLOOKUP(CA20,TER!$A$5:$D$48,4,TRUE),IF($L20="TER B",VLOOKUP(CA20,TER!$F$5:$I$44,4,TRUE),IF($L20="TER C",VLOOKUP(CA20,TER!$K$5:$N$45,4,TRUE),0)))</f>
        <v>0</v>
      </c>
      <c r="CC20" s="61">
        <f t="shared" si="64"/>
        <v>0</v>
      </c>
      <c r="CD20" s="92">
        <f t="shared" si="65"/>
        <v>0</v>
      </c>
      <c r="CE20" s="66">
        <f>IF($L20="TER A",VLOOKUP(CA20,TER!$A$5:$D$48,4,TRUE),IF($L20="TER B",VLOOKUP(CA20,TER!$F$5:$I$44,4,TRUE),IF($L20="TER C",VLOOKUP(CA20,TER!$K$5:$N$45,4,TRUE),0)))</f>
        <v>0</v>
      </c>
      <c r="CF20" s="98">
        <f t="shared" si="66"/>
        <v>0</v>
      </c>
      <c r="CH20" s="118">
        <f>'Data Gaji'!KL20</f>
        <v>0</v>
      </c>
      <c r="CI20" s="66">
        <f>IF($L20="TER A",VLOOKUP(CH20,TER!$A$5:$D$48,4,TRUE),IF($L20="TER B",VLOOKUP(CH20,TER!$F$5:$I$44,4,TRUE),IF($L20="TER C",VLOOKUP(CH20,TER!$K$5:$N$45,4,TRUE),0)))</f>
        <v>0</v>
      </c>
      <c r="CJ20" s="61">
        <f t="shared" si="67"/>
        <v>0</v>
      </c>
      <c r="CK20" s="92">
        <f t="shared" si="68"/>
        <v>0</v>
      </c>
      <c r="CL20" s="66">
        <f>IF($L20="TER A",VLOOKUP(CH20,TER!$A$5:$D$48,4,TRUE),IF($L20="TER B",VLOOKUP(CH20,TER!$F$5:$I$44,4,TRUE),IF($L20="TER C",VLOOKUP(CH20,TER!$K$5:$N$45,4,TRUE),0)))</f>
        <v>0</v>
      </c>
      <c r="CM20" s="98">
        <f t="shared" si="69"/>
        <v>0</v>
      </c>
      <c r="CO20" s="118">
        <f>'Data Gaji'!LL20</f>
        <v>0</v>
      </c>
      <c r="CP20" s="66">
        <f>IF($L20="TER A",VLOOKUP(CO20,TER!$A$5:$D$48,4,TRUE),IF($L20="TER B",VLOOKUP(CO20,TER!$F$5:$I$44,4,TRUE),IF($L20="TER C",VLOOKUP(CO20,TER!$K$5:$N$45,4,TRUE),0)))</f>
        <v>0</v>
      </c>
      <c r="CQ20" s="61">
        <f t="shared" si="70"/>
        <v>0</v>
      </c>
      <c r="CR20" s="92">
        <f t="shared" si="71"/>
        <v>0</v>
      </c>
      <c r="CS20" s="66">
        <f>IF($L20="TER A",VLOOKUP(CO20,TER!$A$5:$D$48,4,TRUE),IF($L20="TER B",VLOOKUP(CO20,TER!$F$5:$I$44,4,TRUE),IF($L20="TER C",VLOOKUP(CO20,TER!$K$5:$N$45,4,TRUE),0)))</f>
        <v>0</v>
      </c>
      <c r="CT20" s="98">
        <f t="shared" si="72"/>
        <v>0</v>
      </c>
    </row>
    <row r="21" spans="1:98" x14ac:dyDescent="0.35">
      <c r="A21" s="52">
        <f t="shared" si="0"/>
        <v>15</v>
      </c>
      <c r="B21" s="69"/>
      <c r="C21" s="73"/>
      <c r="D21" s="55"/>
      <c r="E21" s="281"/>
      <c r="F21" s="56"/>
      <c r="G21" s="129"/>
      <c r="H21" s="272"/>
      <c r="I21" s="272"/>
      <c r="J21" s="54"/>
      <c r="K21" s="272">
        <f>'Data Gaji'!K21</f>
        <v>0</v>
      </c>
      <c r="L21" s="67" t="str">
        <f>IF(ISNA(VLOOKUP(K21,'PTKP &amp; TARIF'!$D$4:$E$11,2,0)),"",VLOOKUP(K21,'PTKP &amp; TARIF'!$D$4:$E$11,2,0))</f>
        <v/>
      </c>
      <c r="M21" s="9"/>
      <c r="N21" s="9"/>
      <c r="O21" s="115" t="s">
        <v>92</v>
      </c>
      <c r="P21" s="118">
        <f>'Data Gaji'!AL21</f>
        <v>0</v>
      </c>
      <c r="Q21" s="66">
        <f>IF($L21="TER A",VLOOKUP(P21,TER!$A$5:$D$48,4,TRUE),IF($L21="TER B",VLOOKUP(P21,TER!$F$5:$I$44,4,TRUE),IF($L21="TER C",VLOOKUP(P21,TER!$K$5:$N$45,4,TRUE),0)))</f>
        <v>0</v>
      </c>
      <c r="R21" s="61">
        <f t="shared" si="37"/>
        <v>0</v>
      </c>
      <c r="S21" s="92">
        <f t="shared" si="38"/>
        <v>0</v>
      </c>
      <c r="T21" s="66">
        <f>IF($L21="TER A",VLOOKUP(P21,TER!$A$5:$D$48,4,TRUE),IF($L21="TER B",VLOOKUP(P21,TER!$F$5:$I$44,4,TRUE),IF($L21="TER C",VLOOKUP(P21,TER!$K$5:$N$45,4,TRUE),0)))</f>
        <v>0</v>
      </c>
      <c r="U21" s="98">
        <f t="shared" si="39"/>
        <v>0</v>
      </c>
      <c r="W21" s="118">
        <f>'Data Gaji'!BL21</f>
        <v>0</v>
      </c>
      <c r="X21" s="66">
        <f>IF($L21="TER A",VLOOKUP(W21,TER!$A$5:$D$48,4,TRUE),IF($L21="TER B",VLOOKUP(W21,TER!$F$5:$I$44,4,TRUE),IF($L21="TER C",VLOOKUP(W21,TER!$K$5:$N$45,4,TRUE),0)))</f>
        <v>0</v>
      </c>
      <c r="Y21" s="61">
        <f t="shared" si="40"/>
        <v>0</v>
      </c>
      <c r="Z21" s="92">
        <f t="shared" si="41"/>
        <v>0</v>
      </c>
      <c r="AA21" s="66">
        <f>IF($L21="TER A",VLOOKUP(W21,TER!$A$5:$D$48,4,TRUE),IF($L21="TER B",VLOOKUP(W21,TER!$F$5:$I$44,4,TRUE),IF($L21="TER C",VLOOKUP(W21,TER!$K$5:$N$45,4,TRUE),0)))</f>
        <v>0</v>
      </c>
      <c r="AB21" s="98">
        <f t="shared" si="42"/>
        <v>0</v>
      </c>
      <c r="AD21" s="118">
        <f>'Data Gaji'!CL21</f>
        <v>0</v>
      </c>
      <c r="AE21" s="66">
        <f>IF($L21="TER A",VLOOKUP(AD21,TER!$A$5:$D$48,4,TRUE),IF($L21="TER B",VLOOKUP(AD21,TER!$F$5:$I$44,4,TRUE),IF($L21="TER C",VLOOKUP(AD21,TER!$K$5:$N$45,4,TRUE),0)))</f>
        <v>0</v>
      </c>
      <c r="AF21" s="61">
        <f t="shared" si="43"/>
        <v>0</v>
      </c>
      <c r="AG21" s="92">
        <f t="shared" si="44"/>
        <v>0</v>
      </c>
      <c r="AH21" s="66">
        <f>IF($L21="TER A",VLOOKUP(AD21,TER!$A$5:$D$48,4,TRUE),IF($L21="TER B",VLOOKUP(AD21,TER!$F$5:$I$44,4,TRUE),IF($L21="TER C",VLOOKUP(AD21,TER!$K$5:$N$45,4,TRUE),0)))</f>
        <v>0</v>
      </c>
      <c r="AI21" s="98">
        <f t="shared" si="45"/>
        <v>0</v>
      </c>
      <c r="AK21" s="118">
        <f>'Data Gaji'!DL21</f>
        <v>0</v>
      </c>
      <c r="AL21" s="66">
        <f>IF($L21="TER A",VLOOKUP(AK21,TER!$A$5:$D$48,4,TRUE),IF($L21="TER B",VLOOKUP(AK21,TER!$F$5:$I$44,4,TRUE),IF($L21="TER C",VLOOKUP(AK21,TER!$K$5:$N$45,4,TRUE),0)))</f>
        <v>0</v>
      </c>
      <c r="AM21" s="61">
        <f t="shared" si="46"/>
        <v>0</v>
      </c>
      <c r="AN21" s="92">
        <f t="shared" si="47"/>
        <v>0</v>
      </c>
      <c r="AO21" s="66">
        <f>IF($L21="TER A",VLOOKUP(AK21,TER!$A$5:$D$48,4,TRUE),IF($L21="TER B",VLOOKUP(AK21,TER!$F$5:$I$44,4,TRUE),IF($L21="TER C",VLOOKUP(AK21,TER!$K$5:$N$45,4,TRUE),0)))</f>
        <v>0</v>
      </c>
      <c r="AP21" s="98">
        <f t="shared" si="48"/>
        <v>0</v>
      </c>
      <c r="AR21" s="118">
        <f>'Data Gaji'!EL21</f>
        <v>0</v>
      </c>
      <c r="AS21" s="66">
        <f>IF($L21="TER A",VLOOKUP(AR21,TER!$A$5:$D$48,4,TRUE),IF($L21="TER B",VLOOKUP(AR21,TER!$F$5:$I$44,4,TRUE),IF($L21="TER C",VLOOKUP(AR21,TER!$K$5:$N$45,4,TRUE),0)))</f>
        <v>0</v>
      </c>
      <c r="AT21" s="61">
        <f t="shared" si="49"/>
        <v>0</v>
      </c>
      <c r="AU21" s="92">
        <f t="shared" si="50"/>
        <v>0</v>
      </c>
      <c r="AV21" s="66">
        <f>IF($L21="TER A",VLOOKUP(AR21,TER!$A$5:$D$48,4,TRUE),IF($L21="TER B",VLOOKUP(AR21,TER!$F$5:$I$44,4,TRUE),IF($L21="TER C",VLOOKUP(AR21,TER!$K$5:$N$45,4,TRUE),0)))</f>
        <v>0</v>
      </c>
      <c r="AW21" s="98">
        <f t="shared" si="51"/>
        <v>0</v>
      </c>
      <c r="AY21" s="118">
        <f>'Data Gaji'!FL21</f>
        <v>0</v>
      </c>
      <c r="AZ21" s="66">
        <f>IF($L21="TER A",VLOOKUP(AY21,TER!$A$5:$D$48,4,TRUE),IF($L21="TER B",VLOOKUP(AY21,TER!$F$5:$I$44,4,TRUE),IF($L21="TER C",VLOOKUP(AY21,TER!$K$5:$N$45,4,TRUE),0)))</f>
        <v>0</v>
      </c>
      <c r="BA21" s="61">
        <f t="shared" si="52"/>
        <v>0</v>
      </c>
      <c r="BB21" s="92">
        <f t="shared" si="53"/>
        <v>0</v>
      </c>
      <c r="BC21" s="66">
        <f>IF($L21="TER A",VLOOKUP(AY21,TER!$A$5:$D$48,4,TRUE),IF($L21="TER B",VLOOKUP(AY21,TER!$F$5:$I$44,4,TRUE),IF($L21="TER C",VLOOKUP(AY21,TER!$K$5:$N$45,4,TRUE),0)))</f>
        <v>0</v>
      </c>
      <c r="BD21" s="98">
        <f t="shared" si="54"/>
        <v>0</v>
      </c>
      <c r="BF21" s="118">
        <f>'Data Gaji'!GL21</f>
        <v>0</v>
      </c>
      <c r="BG21" s="66">
        <f>IF($L21="TER A",VLOOKUP(BF21,TER!$A$5:$D$48,4,TRUE),IF($L21="TER B",VLOOKUP(BF21,TER!$F$5:$I$44,4,TRUE),IF($L21="TER C",VLOOKUP(BF21,TER!$K$5:$N$45,4,TRUE),0)))</f>
        <v>0</v>
      </c>
      <c r="BH21" s="61">
        <f t="shared" si="55"/>
        <v>0</v>
      </c>
      <c r="BI21" s="92">
        <f t="shared" si="56"/>
        <v>0</v>
      </c>
      <c r="BJ21" s="66">
        <f>IF($L21="TER A",VLOOKUP(BF21,TER!$A$5:$D$48,4,TRUE),IF($L21="TER B",VLOOKUP(BF21,TER!$F$5:$I$44,4,TRUE),IF($L21="TER C",VLOOKUP(BF21,TER!$K$5:$N$45,4,TRUE),0)))</f>
        <v>0</v>
      </c>
      <c r="BK21" s="98">
        <f t="shared" si="57"/>
        <v>0</v>
      </c>
      <c r="BM21" s="118">
        <f>'Data Gaji'!HL21</f>
        <v>0</v>
      </c>
      <c r="BN21" s="66">
        <f>IF($L21="TER A",VLOOKUP(BM21,TER!$A$5:$D$48,4,TRUE),IF($L21="TER B",VLOOKUP(BM21,TER!$F$5:$I$44,4,TRUE),IF($L21="TER C",VLOOKUP(BM21,TER!$K$5:$N$45,4,TRUE),0)))</f>
        <v>0</v>
      </c>
      <c r="BO21" s="61">
        <f t="shared" si="58"/>
        <v>0</v>
      </c>
      <c r="BP21" s="92">
        <f t="shared" si="59"/>
        <v>0</v>
      </c>
      <c r="BQ21" s="66">
        <f>IF($L21="TER A",VLOOKUP(BM21,TER!$A$5:$D$48,4,TRUE),IF($L21="TER B",VLOOKUP(BM21,TER!$F$5:$I$44,4,TRUE),IF($L21="TER C",VLOOKUP(BM21,TER!$K$5:$N$45,4,TRUE),0)))</f>
        <v>0</v>
      </c>
      <c r="BR21" s="98">
        <f t="shared" si="60"/>
        <v>0</v>
      </c>
      <c r="BT21" s="118">
        <f>'Data Gaji'!IL21</f>
        <v>0</v>
      </c>
      <c r="BU21" s="66">
        <f>IF($L21="TER A",VLOOKUP(BT21,TER!$A$5:$D$48,4,TRUE),IF($L21="TER B",VLOOKUP(BT21,TER!$F$5:$I$44,4,TRUE),IF($L21="TER C",VLOOKUP(BT21,TER!$K$5:$N$45,4,TRUE),0)))</f>
        <v>0</v>
      </c>
      <c r="BV21" s="61">
        <f t="shared" si="61"/>
        <v>0</v>
      </c>
      <c r="BW21" s="92">
        <f t="shared" si="62"/>
        <v>0</v>
      </c>
      <c r="BX21" s="66">
        <f>IF($L21="TER A",VLOOKUP(BT21,TER!$A$5:$D$48,4,TRUE),IF($L21="TER B",VLOOKUP(BT21,TER!$F$5:$I$44,4,TRUE),IF($L21="TER C",VLOOKUP(BT21,TER!$K$5:$N$45,4,TRUE),0)))</f>
        <v>0</v>
      </c>
      <c r="BY21" s="98">
        <f t="shared" si="63"/>
        <v>0</v>
      </c>
      <c r="CA21" s="118">
        <f>'Data Gaji'!JL21</f>
        <v>0</v>
      </c>
      <c r="CB21" s="66">
        <f>IF($L21="TER A",VLOOKUP(CA21,TER!$A$5:$D$48,4,TRUE),IF($L21="TER B",VLOOKUP(CA21,TER!$F$5:$I$44,4,TRUE),IF($L21="TER C",VLOOKUP(CA21,TER!$K$5:$N$45,4,TRUE),0)))</f>
        <v>0</v>
      </c>
      <c r="CC21" s="61">
        <f t="shared" si="64"/>
        <v>0</v>
      </c>
      <c r="CD21" s="92">
        <f t="shared" si="65"/>
        <v>0</v>
      </c>
      <c r="CE21" s="66">
        <f>IF($L21="TER A",VLOOKUP(CA21,TER!$A$5:$D$48,4,TRUE),IF($L21="TER B",VLOOKUP(CA21,TER!$F$5:$I$44,4,TRUE),IF($L21="TER C",VLOOKUP(CA21,TER!$K$5:$N$45,4,TRUE),0)))</f>
        <v>0</v>
      </c>
      <c r="CF21" s="98">
        <f t="shared" si="66"/>
        <v>0</v>
      </c>
      <c r="CH21" s="118">
        <f>'Data Gaji'!KL21</f>
        <v>0</v>
      </c>
      <c r="CI21" s="66">
        <f>IF($L21="TER A",VLOOKUP(CH21,TER!$A$5:$D$48,4,TRUE),IF($L21="TER B",VLOOKUP(CH21,TER!$F$5:$I$44,4,TRUE),IF($L21="TER C",VLOOKUP(CH21,TER!$K$5:$N$45,4,TRUE),0)))</f>
        <v>0</v>
      </c>
      <c r="CJ21" s="61">
        <f t="shared" si="67"/>
        <v>0</v>
      </c>
      <c r="CK21" s="92">
        <f t="shared" si="68"/>
        <v>0</v>
      </c>
      <c r="CL21" s="66">
        <f>IF($L21="TER A",VLOOKUP(CH21,TER!$A$5:$D$48,4,TRUE),IF($L21="TER B",VLOOKUP(CH21,TER!$F$5:$I$44,4,TRUE),IF($L21="TER C",VLOOKUP(CH21,TER!$K$5:$N$45,4,TRUE),0)))</f>
        <v>0</v>
      </c>
      <c r="CM21" s="98">
        <f t="shared" si="69"/>
        <v>0</v>
      </c>
      <c r="CO21" s="118">
        <f>'Data Gaji'!LL21</f>
        <v>0</v>
      </c>
      <c r="CP21" s="66">
        <f>IF($L21="TER A",VLOOKUP(CO21,TER!$A$5:$D$48,4,TRUE),IF($L21="TER B",VLOOKUP(CO21,TER!$F$5:$I$44,4,TRUE),IF($L21="TER C",VLOOKUP(CO21,TER!$K$5:$N$45,4,TRUE),0)))</f>
        <v>0</v>
      </c>
      <c r="CQ21" s="61">
        <f t="shared" si="70"/>
        <v>0</v>
      </c>
      <c r="CR21" s="92">
        <f t="shared" si="71"/>
        <v>0</v>
      </c>
      <c r="CS21" s="66">
        <f>IF($L21="TER A",VLOOKUP(CO21,TER!$A$5:$D$48,4,TRUE),IF($L21="TER B",VLOOKUP(CO21,TER!$F$5:$I$44,4,TRUE),IF($L21="TER C",VLOOKUP(CO21,TER!$K$5:$N$45,4,TRUE),0)))</f>
        <v>0</v>
      </c>
      <c r="CT21" s="98">
        <f t="shared" si="72"/>
        <v>0</v>
      </c>
    </row>
    <row r="22" spans="1:98" x14ac:dyDescent="0.35">
      <c r="A22" s="52">
        <f t="shared" si="0"/>
        <v>16</v>
      </c>
      <c r="B22" s="69"/>
      <c r="C22" s="73"/>
      <c r="D22" s="55"/>
      <c r="E22" s="281"/>
      <c r="F22" s="56"/>
      <c r="G22" s="129"/>
      <c r="H22" s="272"/>
      <c r="I22" s="272"/>
      <c r="J22" s="54"/>
      <c r="K22" s="272">
        <f>'Data Gaji'!K22</f>
        <v>0</v>
      </c>
      <c r="L22" s="67" t="str">
        <f>IF(ISNA(VLOOKUP(K22,'PTKP &amp; TARIF'!$D$4:$E$11,2,0)),"",VLOOKUP(K22,'PTKP &amp; TARIF'!$D$4:$E$11,2,0))</f>
        <v/>
      </c>
      <c r="M22" s="9"/>
      <c r="N22" s="9"/>
      <c r="O22" s="115" t="s">
        <v>92</v>
      </c>
      <c r="P22" s="118">
        <f>'Data Gaji'!AL22</f>
        <v>0</v>
      </c>
      <c r="Q22" s="66">
        <f>IF($L22="TER A",VLOOKUP(P22,TER!$A$5:$D$48,4,TRUE),IF($L22="TER B",VLOOKUP(P22,TER!$F$5:$I$44,4,TRUE),IF($L22="TER C",VLOOKUP(P22,TER!$K$5:$N$45,4,TRUE),0)))</f>
        <v>0</v>
      </c>
      <c r="R22" s="61">
        <f t="shared" si="37"/>
        <v>0</v>
      </c>
      <c r="S22" s="92">
        <f t="shared" si="38"/>
        <v>0</v>
      </c>
      <c r="T22" s="66">
        <f>IF($L22="TER A",VLOOKUP(P22,TER!$A$5:$D$48,4,TRUE),IF($L22="TER B",VLOOKUP(P22,TER!$F$5:$I$44,4,TRUE),IF($L22="TER C",VLOOKUP(P22,TER!$K$5:$N$45,4,TRUE),0)))</f>
        <v>0</v>
      </c>
      <c r="U22" s="98">
        <f t="shared" si="39"/>
        <v>0</v>
      </c>
      <c r="W22" s="118">
        <f>'Data Gaji'!BL22</f>
        <v>0</v>
      </c>
      <c r="X22" s="66">
        <f>IF($L22="TER A",VLOOKUP(W22,TER!$A$5:$D$48,4,TRUE),IF($L22="TER B",VLOOKUP(W22,TER!$F$5:$I$44,4,TRUE),IF($L22="TER C",VLOOKUP(W22,TER!$K$5:$N$45,4,TRUE),0)))</f>
        <v>0</v>
      </c>
      <c r="Y22" s="61">
        <f t="shared" si="40"/>
        <v>0</v>
      </c>
      <c r="Z22" s="92">
        <f t="shared" si="41"/>
        <v>0</v>
      </c>
      <c r="AA22" s="66">
        <f>IF($L22="TER A",VLOOKUP(W22,TER!$A$5:$D$48,4,TRUE),IF($L22="TER B",VLOOKUP(W22,TER!$F$5:$I$44,4,TRUE),IF($L22="TER C",VLOOKUP(W22,TER!$K$5:$N$45,4,TRUE),0)))</f>
        <v>0</v>
      </c>
      <c r="AB22" s="98">
        <f t="shared" si="42"/>
        <v>0</v>
      </c>
      <c r="AD22" s="118">
        <f>'Data Gaji'!CL22</f>
        <v>0</v>
      </c>
      <c r="AE22" s="66">
        <f>IF($L22="TER A",VLOOKUP(AD22,TER!$A$5:$D$48,4,TRUE),IF($L22="TER B",VLOOKUP(AD22,TER!$F$5:$I$44,4,TRUE),IF($L22="TER C",VLOOKUP(AD22,TER!$K$5:$N$45,4,TRUE),0)))</f>
        <v>0</v>
      </c>
      <c r="AF22" s="61">
        <f t="shared" si="43"/>
        <v>0</v>
      </c>
      <c r="AG22" s="92">
        <f t="shared" si="44"/>
        <v>0</v>
      </c>
      <c r="AH22" s="66">
        <f>IF($L22="TER A",VLOOKUP(AD22,TER!$A$5:$D$48,4,TRUE),IF($L22="TER B",VLOOKUP(AD22,TER!$F$5:$I$44,4,TRUE),IF($L22="TER C",VLOOKUP(AD22,TER!$K$5:$N$45,4,TRUE),0)))</f>
        <v>0</v>
      </c>
      <c r="AI22" s="98">
        <f t="shared" si="45"/>
        <v>0</v>
      </c>
      <c r="AK22" s="118">
        <f>'Data Gaji'!DL22</f>
        <v>0</v>
      </c>
      <c r="AL22" s="66">
        <f>IF($L22="TER A",VLOOKUP(AK22,TER!$A$5:$D$48,4,TRUE),IF($L22="TER B",VLOOKUP(AK22,TER!$F$5:$I$44,4,TRUE),IF($L22="TER C",VLOOKUP(AK22,TER!$K$5:$N$45,4,TRUE),0)))</f>
        <v>0</v>
      </c>
      <c r="AM22" s="61">
        <f t="shared" si="46"/>
        <v>0</v>
      </c>
      <c r="AN22" s="92">
        <f t="shared" si="47"/>
        <v>0</v>
      </c>
      <c r="AO22" s="66">
        <f>IF($L22="TER A",VLOOKUP(AK22,TER!$A$5:$D$48,4,TRUE),IF($L22="TER B",VLOOKUP(AK22,TER!$F$5:$I$44,4,TRUE),IF($L22="TER C",VLOOKUP(AK22,TER!$K$5:$N$45,4,TRUE),0)))</f>
        <v>0</v>
      </c>
      <c r="AP22" s="98">
        <f t="shared" si="48"/>
        <v>0</v>
      </c>
      <c r="AR22" s="118">
        <f>'Data Gaji'!EL22</f>
        <v>0</v>
      </c>
      <c r="AS22" s="66">
        <f>IF($L22="TER A",VLOOKUP(AR22,TER!$A$5:$D$48,4,TRUE),IF($L22="TER B",VLOOKUP(AR22,TER!$F$5:$I$44,4,TRUE),IF($L22="TER C",VLOOKUP(AR22,TER!$K$5:$N$45,4,TRUE),0)))</f>
        <v>0</v>
      </c>
      <c r="AT22" s="61">
        <f t="shared" si="49"/>
        <v>0</v>
      </c>
      <c r="AU22" s="92">
        <f t="shared" si="50"/>
        <v>0</v>
      </c>
      <c r="AV22" s="66">
        <f>IF($L22="TER A",VLOOKUP(AR22,TER!$A$5:$D$48,4,TRUE),IF($L22="TER B",VLOOKUP(AR22,TER!$F$5:$I$44,4,TRUE),IF($L22="TER C",VLOOKUP(AR22,TER!$K$5:$N$45,4,TRUE),0)))</f>
        <v>0</v>
      </c>
      <c r="AW22" s="98">
        <f t="shared" si="51"/>
        <v>0</v>
      </c>
      <c r="AY22" s="118">
        <f>'Data Gaji'!FL22</f>
        <v>0</v>
      </c>
      <c r="AZ22" s="66">
        <f>IF($L22="TER A",VLOOKUP(AY22,TER!$A$5:$D$48,4,TRUE),IF($L22="TER B",VLOOKUP(AY22,TER!$F$5:$I$44,4,TRUE),IF($L22="TER C",VLOOKUP(AY22,TER!$K$5:$N$45,4,TRUE),0)))</f>
        <v>0</v>
      </c>
      <c r="BA22" s="61">
        <f t="shared" si="52"/>
        <v>0</v>
      </c>
      <c r="BB22" s="92">
        <f t="shared" si="53"/>
        <v>0</v>
      </c>
      <c r="BC22" s="66">
        <f>IF($L22="TER A",VLOOKUP(AY22,TER!$A$5:$D$48,4,TRUE),IF($L22="TER B",VLOOKUP(AY22,TER!$F$5:$I$44,4,TRUE),IF($L22="TER C",VLOOKUP(AY22,TER!$K$5:$N$45,4,TRUE),0)))</f>
        <v>0</v>
      </c>
      <c r="BD22" s="98">
        <f t="shared" si="54"/>
        <v>0</v>
      </c>
      <c r="BF22" s="118">
        <f>'Data Gaji'!GL22</f>
        <v>0</v>
      </c>
      <c r="BG22" s="66">
        <f>IF($L22="TER A",VLOOKUP(BF22,TER!$A$5:$D$48,4,TRUE),IF($L22="TER B",VLOOKUP(BF22,TER!$F$5:$I$44,4,TRUE),IF($L22="TER C",VLOOKUP(BF22,TER!$K$5:$N$45,4,TRUE),0)))</f>
        <v>0</v>
      </c>
      <c r="BH22" s="61">
        <f t="shared" si="55"/>
        <v>0</v>
      </c>
      <c r="BI22" s="92">
        <f t="shared" si="56"/>
        <v>0</v>
      </c>
      <c r="BJ22" s="66">
        <f>IF($L22="TER A",VLOOKUP(BF22,TER!$A$5:$D$48,4,TRUE),IF($L22="TER B",VLOOKUP(BF22,TER!$F$5:$I$44,4,TRUE),IF($L22="TER C",VLOOKUP(BF22,TER!$K$5:$N$45,4,TRUE),0)))</f>
        <v>0</v>
      </c>
      <c r="BK22" s="98">
        <f t="shared" si="57"/>
        <v>0</v>
      </c>
      <c r="BM22" s="118">
        <f>'Data Gaji'!HL22</f>
        <v>0</v>
      </c>
      <c r="BN22" s="66">
        <f>IF($L22="TER A",VLOOKUP(BM22,TER!$A$5:$D$48,4,TRUE),IF($L22="TER B",VLOOKUP(BM22,TER!$F$5:$I$44,4,TRUE),IF($L22="TER C",VLOOKUP(BM22,TER!$K$5:$N$45,4,TRUE),0)))</f>
        <v>0</v>
      </c>
      <c r="BO22" s="61">
        <f t="shared" si="58"/>
        <v>0</v>
      </c>
      <c r="BP22" s="92">
        <f t="shared" si="59"/>
        <v>0</v>
      </c>
      <c r="BQ22" s="66">
        <f>IF($L22="TER A",VLOOKUP(BM22,TER!$A$5:$D$48,4,TRUE),IF($L22="TER B",VLOOKUP(BM22,TER!$F$5:$I$44,4,TRUE),IF($L22="TER C",VLOOKUP(BM22,TER!$K$5:$N$45,4,TRUE),0)))</f>
        <v>0</v>
      </c>
      <c r="BR22" s="98">
        <f t="shared" si="60"/>
        <v>0</v>
      </c>
      <c r="BT22" s="118">
        <f>'Data Gaji'!IL22</f>
        <v>0</v>
      </c>
      <c r="BU22" s="66">
        <f>IF($L22="TER A",VLOOKUP(BT22,TER!$A$5:$D$48,4,TRUE),IF($L22="TER B",VLOOKUP(BT22,TER!$F$5:$I$44,4,TRUE),IF($L22="TER C",VLOOKUP(BT22,TER!$K$5:$N$45,4,TRUE),0)))</f>
        <v>0</v>
      </c>
      <c r="BV22" s="61">
        <f t="shared" si="61"/>
        <v>0</v>
      </c>
      <c r="BW22" s="92">
        <f t="shared" si="62"/>
        <v>0</v>
      </c>
      <c r="BX22" s="66">
        <f>IF($L22="TER A",VLOOKUP(BT22,TER!$A$5:$D$48,4,TRUE),IF($L22="TER B",VLOOKUP(BT22,TER!$F$5:$I$44,4,TRUE),IF($L22="TER C",VLOOKUP(BT22,TER!$K$5:$N$45,4,TRUE),0)))</f>
        <v>0</v>
      </c>
      <c r="BY22" s="98">
        <f t="shared" si="63"/>
        <v>0</v>
      </c>
      <c r="CA22" s="118">
        <f>'Data Gaji'!JL22</f>
        <v>0</v>
      </c>
      <c r="CB22" s="66">
        <f>IF($L22="TER A",VLOOKUP(CA22,TER!$A$5:$D$48,4,TRUE),IF($L22="TER B",VLOOKUP(CA22,TER!$F$5:$I$44,4,TRUE),IF($L22="TER C",VLOOKUP(CA22,TER!$K$5:$N$45,4,TRUE),0)))</f>
        <v>0</v>
      </c>
      <c r="CC22" s="61">
        <f t="shared" si="64"/>
        <v>0</v>
      </c>
      <c r="CD22" s="92">
        <f t="shared" si="65"/>
        <v>0</v>
      </c>
      <c r="CE22" s="66">
        <f>IF($L22="TER A",VLOOKUP(CA22,TER!$A$5:$D$48,4,TRUE),IF($L22="TER B",VLOOKUP(CA22,TER!$F$5:$I$44,4,TRUE),IF($L22="TER C",VLOOKUP(CA22,TER!$K$5:$N$45,4,TRUE),0)))</f>
        <v>0</v>
      </c>
      <c r="CF22" s="98">
        <f t="shared" si="66"/>
        <v>0</v>
      </c>
      <c r="CH22" s="118">
        <f>'Data Gaji'!KL22</f>
        <v>0</v>
      </c>
      <c r="CI22" s="66">
        <f>IF($L22="TER A",VLOOKUP(CH22,TER!$A$5:$D$48,4,TRUE),IF($L22="TER B",VLOOKUP(CH22,TER!$F$5:$I$44,4,TRUE),IF($L22="TER C",VLOOKUP(CH22,TER!$K$5:$N$45,4,TRUE),0)))</f>
        <v>0</v>
      </c>
      <c r="CJ22" s="61">
        <f t="shared" si="67"/>
        <v>0</v>
      </c>
      <c r="CK22" s="92">
        <f t="shared" si="68"/>
        <v>0</v>
      </c>
      <c r="CL22" s="66">
        <f>IF($L22="TER A",VLOOKUP(CH22,TER!$A$5:$D$48,4,TRUE),IF($L22="TER B",VLOOKUP(CH22,TER!$F$5:$I$44,4,TRUE),IF($L22="TER C",VLOOKUP(CH22,TER!$K$5:$N$45,4,TRUE),0)))</f>
        <v>0</v>
      </c>
      <c r="CM22" s="98">
        <f t="shared" si="69"/>
        <v>0</v>
      </c>
      <c r="CO22" s="118">
        <f>'Data Gaji'!LL22</f>
        <v>0</v>
      </c>
      <c r="CP22" s="66">
        <f>IF($L22="TER A",VLOOKUP(CO22,TER!$A$5:$D$48,4,TRUE),IF($L22="TER B",VLOOKUP(CO22,TER!$F$5:$I$44,4,TRUE),IF($L22="TER C",VLOOKUP(CO22,TER!$K$5:$N$45,4,TRUE),0)))</f>
        <v>0</v>
      </c>
      <c r="CQ22" s="61">
        <f t="shared" si="70"/>
        <v>0</v>
      </c>
      <c r="CR22" s="92">
        <f t="shared" si="71"/>
        <v>0</v>
      </c>
      <c r="CS22" s="66">
        <f>IF($L22="TER A",VLOOKUP(CO22,TER!$A$5:$D$48,4,TRUE),IF($L22="TER B",VLOOKUP(CO22,TER!$F$5:$I$44,4,TRUE),IF($L22="TER C",VLOOKUP(CO22,TER!$K$5:$N$45,4,TRUE),0)))</f>
        <v>0</v>
      </c>
      <c r="CT22" s="98">
        <f t="shared" si="72"/>
        <v>0</v>
      </c>
    </row>
    <row r="23" spans="1:98" ht="15" thickBot="1" x14ac:dyDescent="0.4">
      <c r="A23" s="52">
        <f t="shared" si="0"/>
        <v>17</v>
      </c>
      <c r="B23" s="69"/>
      <c r="C23" s="73"/>
      <c r="D23" s="55"/>
      <c r="E23" s="281"/>
      <c r="F23" s="56"/>
      <c r="G23" s="129"/>
      <c r="H23" s="272"/>
      <c r="I23" s="272"/>
      <c r="J23" s="54"/>
      <c r="K23" s="272">
        <f>'Data Gaji'!K23</f>
        <v>0</v>
      </c>
      <c r="L23" s="67" t="str">
        <f>IF(ISNA(VLOOKUP(K23,'PTKP &amp; TARIF'!$D$4:$E$11,2,0)),"",VLOOKUP(K23,'PTKP &amp; TARIF'!$D$4:$E$11,2,0))</f>
        <v/>
      </c>
      <c r="M23" s="9"/>
      <c r="N23" s="9"/>
      <c r="O23" s="115" t="s">
        <v>92</v>
      </c>
      <c r="P23" s="118">
        <f>'Data Gaji'!AL23</f>
        <v>0</v>
      </c>
      <c r="Q23" s="66">
        <f>IF($L23="TER A",VLOOKUP(P23,TER!$A$5:$D$48,4,TRUE),IF($L23="TER B",VLOOKUP(P23,TER!$F$5:$I$44,4,TRUE),IF($L23="TER C",VLOOKUP(P23,TER!$K$5:$N$45,4,TRUE),0)))</f>
        <v>0</v>
      </c>
      <c r="R23" s="61">
        <f t="shared" si="37"/>
        <v>0</v>
      </c>
      <c r="S23" s="120">
        <f t="shared" si="38"/>
        <v>0</v>
      </c>
      <c r="T23" s="66">
        <f>IF($L23="TER A",VLOOKUP(P23,TER!$A$5:$D$48,4,TRUE),IF($L23="TER B",VLOOKUP(P23,TER!$F$5:$I$44,4,TRUE),IF($L23="TER C",VLOOKUP(P23,TER!$K$5:$N$45,4,TRUE),0)))</f>
        <v>0</v>
      </c>
      <c r="U23" s="98">
        <f t="shared" si="39"/>
        <v>0</v>
      </c>
      <c r="W23" s="118">
        <f>'Data Gaji'!BL23</f>
        <v>0</v>
      </c>
      <c r="X23" s="66">
        <f>IF($L23="TER A",VLOOKUP(W23,TER!$A$5:$D$48,4,TRUE),IF($L23="TER B",VLOOKUP(W23,TER!$F$5:$I$44,4,TRUE),IF($L23="TER C",VLOOKUP(W23,TER!$K$5:$N$45,4,TRUE),0)))</f>
        <v>0</v>
      </c>
      <c r="Y23" s="119">
        <f t="shared" si="40"/>
        <v>0</v>
      </c>
      <c r="Z23" s="120">
        <f t="shared" si="41"/>
        <v>0</v>
      </c>
      <c r="AA23" s="66">
        <f>IF($L23="TER A",VLOOKUP(W23,TER!$A$5:$D$48,4,TRUE),IF($L23="TER B",VLOOKUP(W23,TER!$F$5:$I$44,4,TRUE),IF($L23="TER C",VLOOKUP(W23,TER!$K$5:$N$45,4,TRUE),0)))</f>
        <v>0</v>
      </c>
      <c r="AB23" s="98">
        <f t="shared" si="42"/>
        <v>0</v>
      </c>
      <c r="AD23" s="118">
        <f>'Data Gaji'!CL23</f>
        <v>0</v>
      </c>
      <c r="AE23" s="66">
        <f>IF($L23="TER A",VLOOKUP(AD23,TER!$A$5:$D$48,4,TRUE),IF($L23="TER B",VLOOKUP(AD23,TER!$F$5:$I$44,4,TRUE),IF($L23="TER C",VLOOKUP(AD23,TER!$K$5:$N$45,4,TRUE),0)))</f>
        <v>0</v>
      </c>
      <c r="AF23" s="119">
        <f t="shared" si="43"/>
        <v>0</v>
      </c>
      <c r="AG23" s="120">
        <f t="shared" si="44"/>
        <v>0</v>
      </c>
      <c r="AH23" s="66">
        <f>IF($L23="TER A",VLOOKUP(AD23,TER!$A$5:$D$48,4,TRUE),IF($L23="TER B",VLOOKUP(AD23,TER!$F$5:$I$44,4,TRUE),IF($L23="TER C",VLOOKUP(AD23,TER!$K$5:$N$45,4,TRUE),0)))</f>
        <v>0</v>
      </c>
      <c r="AI23" s="98">
        <f t="shared" si="45"/>
        <v>0</v>
      </c>
      <c r="AK23" s="118">
        <f>'Data Gaji'!DL23</f>
        <v>0</v>
      </c>
      <c r="AL23" s="66">
        <f>IF($L23="TER A",VLOOKUP(AK23,TER!$A$5:$D$48,4,TRUE),IF($L23="TER B",VLOOKUP(AK23,TER!$F$5:$I$44,4,TRUE),IF($L23="TER C",VLOOKUP(AK23,TER!$K$5:$N$45,4,TRUE),0)))</f>
        <v>0</v>
      </c>
      <c r="AM23" s="119">
        <f t="shared" si="46"/>
        <v>0</v>
      </c>
      <c r="AN23" s="120">
        <f t="shared" si="47"/>
        <v>0</v>
      </c>
      <c r="AO23" s="66">
        <f>IF($L23="TER A",VLOOKUP(AK23,TER!$A$5:$D$48,4,TRUE),IF($L23="TER B",VLOOKUP(AK23,TER!$F$5:$I$44,4,TRUE),IF($L23="TER C",VLOOKUP(AK23,TER!$K$5:$N$45,4,TRUE),0)))</f>
        <v>0</v>
      </c>
      <c r="AP23" s="98">
        <f t="shared" si="48"/>
        <v>0</v>
      </c>
      <c r="AR23" s="118">
        <f>'Data Gaji'!EL23</f>
        <v>0</v>
      </c>
      <c r="AS23" s="66">
        <f>IF($L23="TER A",VLOOKUP(AR23,TER!$A$5:$D$48,4,TRUE),IF($L23="TER B",VLOOKUP(AR23,TER!$F$5:$I$44,4,TRUE),IF($L23="TER C",VLOOKUP(AR23,TER!$K$5:$N$45,4,TRUE),0)))</f>
        <v>0</v>
      </c>
      <c r="AT23" s="119">
        <f t="shared" si="49"/>
        <v>0</v>
      </c>
      <c r="AU23" s="120">
        <f t="shared" si="50"/>
        <v>0</v>
      </c>
      <c r="AV23" s="66">
        <f>IF($L23="TER A",VLOOKUP(AR23,TER!$A$5:$D$48,4,TRUE),IF($L23="TER B",VLOOKUP(AR23,TER!$F$5:$I$44,4,TRUE),IF($L23="TER C",VLOOKUP(AR23,TER!$K$5:$N$45,4,TRUE),0)))</f>
        <v>0</v>
      </c>
      <c r="AW23" s="98">
        <f t="shared" si="51"/>
        <v>0</v>
      </c>
      <c r="AY23" s="118">
        <f>'Data Gaji'!FL23</f>
        <v>0</v>
      </c>
      <c r="AZ23" s="66">
        <f>IF($L23="TER A",VLOOKUP(AY23,TER!$A$5:$D$48,4,TRUE),IF($L23="TER B",VLOOKUP(AY23,TER!$F$5:$I$44,4,TRUE),IF($L23="TER C",VLOOKUP(AY23,TER!$K$5:$N$45,4,TRUE),0)))</f>
        <v>0</v>
      </c>
      <c r="BA23" s="119">
        <f t="shared" si="52"/>
        <v>0</v>
      </c>
      <c r="BB23" s="120">
        <f t="shared" si="53"/>
        <v>0</v>
      </c>
      <c r="BC23" s="66">
        <f>IF($L23="TER A",VLOOKUP(AY23,TER!$A$5:$D$48,4,TRUE),IF($L23="TER B",VLOOKUP(AY23,TER!$F$5:$I$44,4,TRUE),IF($L23="TER C",VLOOKUP(AY23,TER!$K$5:$N$45,4,TRUE),0)))</f>
        <v>0</v>
      </c>
      <c r="BD23" s="98">
        <f t="shared" si="54"/>
        <v>0</v>
      </c>
      <c r="BF23" s="118">
        <f>'Data Gaji'!GL23</f>
        <v>0</v>
      </c>
      <c r="BG23" s="66">
        <f>IF($L23="TER A",VLOOKUP(BF23,TER!$A$5:$D$48,4,TRUE),IF($L23="TER B",VLOOKUP(BF23,TER!$F$5:$I$44,4,TRUE),IF($L23="TER C",VLOOKUP(BF23,TER!$K$5:$N$45,4,TRUE),0)))</f>
        <v>0</v>
      </c>
      <c r="BH23" s="119">
        <f t="shared" si="55"/>
        <v>0</v>
      </c>
      <c r="BI23" s="120">
        <f t="shared" si="56"/>
        <v>0</v>
      </c>
      <c r="BJ23" s="66">
        <f>IF($L23="TER A",VLOOKUP(BF23,TER!$A$5:$D$48,4,TRUE),IF($L23="TER B",VLOOKUP(BF23,TER!$F$5:$I$44,4,TRUE),IF($L23="TER C",VLOOKUP(BF23,TER!$K$5:$N$45,4,TRUE),0)))</f>
        <v>0</v>
      </c>
      <c r="BK23" s="98">
        <f t="shared" si="57"/>
        <v>0</v>
      </c>
      <c r="BM23" s="118">
        <f>'Data Gaji'!HL23</f>
        <v>0</v>
      </c>
      <c r="BN23" s="66">
        <f>IF($L23="TER A",VLOOKUP(BM23,TER!$A$5:$D$48,4,TRUE),IF($L23="TER B",VLOOKUP(BM23,TER!$F$5:$I$44,4,TRUE),IF($L23="TER C",VLOOKUP(BM23,TER!$K$5:$N$45,4,TRUE),0)))</f>
        <v>0</v>
      </c>
      <c r="BO23" s="119">
        <f t="shared" si="58"/>
        <v>0</v>
      </c>
      <c r="BP23" s="120">
        <f t="shared" si="59"/>
        <v>0</v>
      </c>
      <c r="BQ23" s="66">
        <f>IF($L23="TER A",VLOOKUP(BM23,TER!$A$5:$D$48,4,TRUE),IF($L23="TER B",VLOOKUP(BM23,TER!$F$5:$I$44,4,TRUE),IF($L23="TER C",VLOOKUP(BM23,TER!$K$5:$N$45,4,TRUE),0)))</f>
        <v>0</v>
      </c>
      <c r="BR23" s="98">
        <f t="shared" si="60"/>
        <v>0</v>
      </c>
      <c r="BT23" s="118">
        <f>'Data Gaji'!IL23</f>
        <v>0</v>
      </c>
      <c r="BU23" s="66">
        <f>IF($L23="TER A",VLOOKUP(BT23,TER!$A$5:$D$48,4,TRUE),IF($L23="TER B",VLOOKUP(BT23,TER!$F$5:$I$44,4,TRUE),IF($L23="TER C",VLOOKUP(BT23,TER!$K$5:$N$45,4,TRUE),0)))</f>
        <v>0</v>
      </c>
      <c r="BV23" s="119">
        <f t="shared" si="61"/>
        <v>0</v>
      </c>
      <c r="BW23" s="120">
        <f t="shared" si="62"/>
        <v>0</v>
      </c>
      <c r="BX23" s="66">
        <f>IF($L23="TER A",VLOOKUP(BT23,TER!$A$5:$D$48,4,TRUE),IF($L23="TER B",VLOOKUP(BT23,TER!$F$5:$I$44,4,TRUE),IF($L23="TER C",VLOOKUP(BT23,TER!$K$5:$N$45,4,TRUE),0)))</f>
        <v>0</v>
      </c>
      <c r="BY23" s="98">
        <f t="shared" si="63"/>
        <v>0</v>
      </c>
      <c r="CA23" s="118">
        <f>'Data Gaji'!JL23</f>
        <v>0</v>
      </c>
      <c r="CB23" s="66">
        <f>IF($L23="TER A",VLOOKUP(CA23,TER!$A$5:$D$48,4,TRUE),IF($L23="TER B",VLOOKUP(CA23,TER!$F$5:$I$44,4,TRUE),IF($L23="TER C",VLOOKUP(CA23,TER!$K$5:$N$45,4,TRUE),0)))</f>
        <v>0</v>
      </c>
      <c r="CC23" s="119">
        <f t="shared" si="64"/>
        <v>0</v>
      </c>
      <c r="CD23" s="120">
        <f t="shared" si="65"/>
        <v>0</v>
      </c>
      <c r="CE23" s="66">
        <f>IF($L23="TER A",VLOOKUP(CA23,TER!$A$5:$D$48,4,TRUE),IF($L23="TER B",VLOOKUP(CA23,TER!$F$5:$I$44,4,TRUE),IF($L23="TER C",VLOOKUP(CA23,TER!$K$5:$N$45,4,TRUE),0)))</f>
        <v>0</v>
      </c>
      <c r="CF23" s="98">
        <f t="shared" si="66"/>
        <v>0</v>
      </c>
      <c r="CH23" s="118">
        <f>'Data Gaji'!KL23</f>
        <v>0</v>
      </c>
      <c r="CI23" s="66">
        <f>IF($L23="TER A",VLOOKUP(CH23,TER!$A$5:$D$48,4,TRUE),IF($L23="TER B",VLOOKUP(CH23,TER!$F$5:$I$44,4,TRUE),IF($L23="TER C",VLOOKUP(CH23,TER!$K$5:$N$45,4,TRUE),0)))</f>
        <v>0</v>
      </c>
      <c r="CJ23" s="119">
        <f t="shared" si="67"/>
        <v>0</v>
      </c>
      <c r="CK23" s="120">
        <f t="shared" si="68"/>
        <v>0</v>
      </c>
      <c r="CL23" s="66">
        <f>IF($L23="TER A",VLOOKUP(CH23,TER!$A$5:$D$48,4,TRUE),IF($L23="TER B",VLOOKUP(CH23,TER!$F$5:$I$44,4,TRUE),IF($L23="TER C",VLOOKUP(CH23,TER!$K$5:$N$45,4,TRUE),0)))</f>
        <v>0</v>
      </c>
      <c r="CM23" s="98">
        <f t="shared" si="69"/>
        <v>0</v>
      </c>
      <c r="CO23" s="118">
        <f>'Data Gaji'!LL23</f>
        <v>0</v>
      </c>
      <c r="CP23" s="66">
        <f>IF($L23="TER A",VLOOKUP(CO23,TER!$A$5:$D$48,4,TRUE),IF($L23="TER B",VLOOKUP(CO23,TER!$F$5:$I$44,4,TRUE),IF($L23="TER C",VLOOKUP(CO23,TER!$K$5:$N$45,4,TRUE),0)))</f>
        <v>0</v>
      </c>
      <c r="CQ23" s="119">
        <f t="shared" si="70"/>
        <v>0</v>
      </c>
      <c r="CR23" s="120">
        <f t="shared" si="71"/>
        <v>0</v>
      </c>
      <c r="CS23" s="66">
        <f>IF($L23="TER A",VLOOKUP(CO23,TER!$A$5:$D$48,4,TRUE),IF($L23="TER B",VLOOKUP(CO23,TER!$F$5:$I$44,4,TRUE),IF($L23="TER C",VLOOKUP(CO23,TER!$K$5:$N$45,4,TRUE),0)))</f>
        <v>0</v>
      </c>
      <c r="CT23" s="98">
        <f t="shared" si="72"/>
        <v>0</v>
      </c>
    </row>
    <row r="24" spans="1:98" ht="15" thickTop="1" x14ac:dyDescent="0.35">
      <c r="A24" s="52">
        <f t="shared" si="0"/>
        <v>18</v>
      </c>
      <c r="B24" s="69"/>
      <c r="C24" s="73"/>
      <c r="D24" s="55"/>
      <c r="E24" s="281"/>
      <c r="F24" s="272"/>
      <c r="G24" s="277"/>
      <c r="H24" s="272"/>
      <c r="I24" s="272"/>
      <c r="J24" s="277"/>
      <c r="K24" s="272">
        <f>'Data Gaji'!K24</f>
        <v>0</v>
      </c>
      <c r="L24" s="67" t="str">
        <f>IF(ISNA(VLOOKUP(K24,'PTKP &amp; TARIF'!$D$4:$E$11,2,0)),"",VLOOKUP(K24,'PTKP &amp; TARIF'!$D$4:$E$11,2,0))</f>
        <v/>
      </c>
      <c r="M24" s="9"/>
      <c r="N24" s="9"/>
      <c r="O24" s="115" t="s">
        <v>92</v>
      </c>
      <c r="P24" s="118">
        <f>'Data Gaji'!AL24</f>
        <v>0</v>
      </c>
      <c r="Q24" s="66">
        <f>IF($L24="TER A",VLOOKUP(P24,TER!$A$5:$D$48,4,TRUE),IF($L24="TER B",VLOOKUP(P24,TER!$F$5:$I$44,4,TRUE),IF($L24="TER C",VLOOKUP(P24,TER!$K$5:$N$45,4,TRUE),0)))</f>
        <v>0</v>
      </c>
      <c r="R24" s="61">
        <f t="shared" si="1"/>
        <v>0</v>
      </c>
      <c r="S24" s="92">
        <f t="shared" si="2"/>
        <v>0</v>
      </c>
      <c r="T24" s="66">
        <f>IF($L24="TER A",VLOOKUP(P24,TER!$A$5:$D$48,4,TRUE),IF($L24="TER B",VLOOKUP(P24,TER!$F$5:$I$44,4,TRUE),IF($L24="TER C",VLOOKUP(P24,TER!$K$5:$N$45,4,TRUE),0)))</f>
        <v>0</v>
      </c>
      <c r="U24" s="98">
        <f t="shared" si="3"/>
        <v>0</v>
      </c>
      <c r="W24" s="118">
        <f>'Data Gaji'!BL24</f>
        <v>0</v>
      </c>
      <c r="X24" s="66">
        <f>IF($L24="TER A",VLOOKUP(W24,TER!$A$5:$D$48,4,TRUE),IF($L24="TER B",VLOOKUP(W24,TER!$F$5:$I$44,4,TRUE),IF($L24="TER C",VLOOKUP(W24,TER!$K$5:$N$45,4,TRUE),0)))</f>
        <v>0</v>
      </c>
      <c r="Y24" s="61">
        <f t="shared" si="4"/>
        <v>0</v>
      </c>
      <c r="Z24" s="92">
        <f t="shared" si="5"/>
        <v>0</v>
      </c>
      <c r="AA24" s="66">
        <f>IF($L24="TER A",VLOOKUP(W24,TER!$A$5:$D$48,4,TRUE),IF($L24="TER B",VLOOKUP(W24,TER!$F$5:$I$44,4,TRUE),IF($L24="TER C",VLOOKUP(W24,TER!$K$5:$N$45,4,TRUE),0)))</f>
        <v>0</v>
      </c>
      <c r="AB24" s="98">
        <f t="shared" si="6"/>
        <v>0</v>
      </c>
      <c r="AD24" s="118">
        <f>'Data Gaji'!CL24</f>
        <v>0</v>
      </c>
      <c r="AE24" s="66">
        <f>IF($L24="TER A",VLOOKUP(AD24,TER!$A$5:$D$48,4,TRUE),IF($L24="TER B",VLOOKUP(AD24,TER!$F$5:$I$44,4,TRUE),IF($L24="TER C",VLOOKUP(AD24,TER!$K$5:$N$45,4,TRUE),0)))</f>
        <v>0</v>
      </c>
      <c r="AF24" s="61">
        <f t="shared" si="7"/>
        <v>0</v>
      </c>
      <c r="AG24" s="92">
        <f t="shared" si="8"/>
        <v>0</v>
      </c>
      <c r="AH24" s="66">
        <f>IF($L24="TER A",VLOOKUP(AD24,TER!$A$5:$D$48,4,TRUE),IF($L24="TER B",VLOOKUP(AD24,TER!$F$5:$I$44,4,TRUE),IF($L24="TER C",VLOOKUP(AD24,TER!$K$5:$N$45,4,TRUE),0)))</f>
        <v>0</v>
      </c>
      <c r="AI24" s="98">
        <f t="shared" si="9"/>
        <v>0</v>
      </c>
      <c r="AK24" s="118">
        <f>'Data Gaji'!DL24</f>
        <v>0</v>
      </c>
      <c r="AL24" s="66">
        <f>IF($L24="TER A",VLOOKUP(AK24,TER!$A$5:$D$48,4,TRUE),IF($L24="TER B",VLOOKUP(AK24,TER!$F$5:$I$44,4,TRUE),IF($L24="TER C",VLOOKUP(AK24,TER!$K$5:$N$45,4,TRUE),0)))</f>
        <v>0</v>
      </c>
      <c r="AM24" s="61">
        <f t="shared" si="10"/>
        <v>0</v>
      </c>
      <c r="AN24" s="92">
        <f t="shared" si="11"/>
        <v>0</v>
      </c>
      <c r="AO24" s="66">
        <f>IF($L24="TER A",VLOOKUP(AK24,TER!$A$5:$D$48,4,TRUE),IF($L24="TER B",VLOOKUP(AK24,TER!$F$5:$I$44,4,TRUE),IF($L24="TER C",VLOOKUP(AK24,TER!$K$5:$N$45,4,TRUE),0)))</f>
        <v>0</v>
      </c>
      <c r="AP24" s="98">
        <f t="shared" si="12"/>
        <v>0</v>
      </c>
      <c r="AR24" s="118">
        <f>'Data Gaji'!EL24</f>
        <v>0</v>
      </c>
      <c r="AS24" s="66">
        <f>IF($L24="TER A",VLOOKUP(AR24,TER!$A$5:$D$48,4,TRUE),IF($L24="TER B",VLOOKUP(AR24,TER!$F$5:$I$44,4,TRUE),IF($L24="TER C",VLOOKUP(AR24,TER!$K$5:$N$45,4,TRUE),0)))</f>
        <v>0</v>
      </c>
      <c r="AT24" s="61">
        <f t="shared" si="13"/>
        <v>0</v>
      </c>
      <c r="AU24" s="92">
        <f t="shared" si="14"/>
        <v>0</v>
      </c>
      <c r="AV24" s="66">
        <f>IF($L24="TER A",VLOOKUP(AR24,TER!$A$5:$D$48,4,TRUE),IF($L24="TER B",VLOOKUP(AR24,TER!$F$5:$I$44,4,TRUE),IF($L24="TER C",VLOOKUP(AR24,TER!$K$5:$N$45,4,TRUE),0)))</f>
        <v>0</v>
      </c>
      <c r="AW24" s="98">
        <f t="shared" si="15"/>
        <v>0</v>
      </c>
      <c r="AY24" s="118">
        <f>'Data Gaji'!FL24</f>
        <v>0</v>
      </c>
      <c r="AZ24" s="66">
        <f>IF($L24="TER A",VLOOKUP(AY24,TER!$A$5:$D$48,4,TRUE),IF($L24="TER B",VLOOKUP(AY24,TER!$F$5:$I$44,4,TRUE),IF($L24="TER C",VLOOKUP(AY24,TER!$K$5:$N$45,4,TRUE),0)))</f>
        <v>0</v>
      </c>
      <c r="BA24" s="61">
        <f t="shared" si="16"/>
        <v>0</v>
      </c>
      <c r="BB24" s="92">
        <f t="shared" si="17"/>
        <v>0</v>
      </c>
      <c r="BC24" s="66">
        <f>IF($L24="TER A",VLOOKUP(AY24,TER!$A$5:$D$48,4,TRUE),IF($L24="TER B",VLOOKUP(AY24,TER!$F$5:$I$44,4,TRUE),IF($L24="TER C",VLOOKUP(AY24,TER!$K$5:$N$45,4,TRUE),0)))</f>
        <v>0</v>
      </c>
      <c r="BD24" s="98">
        <f t="shared" si="18"/>
        <v>0</v>
      </c>
      <c r="BF24" s="118">
        <f>'Data Gaji'!GL24</f>
        <v>0</v>
      </c>
      <c r="BG24" s="66">
        <f>IF($L24="TER A",VLOOKUP(BF24,TER!$A$5:$D$48,4,TRUE),IF($L24="TER B",VLOOKUP(BF24,TER!$F$5:$I$44,4,TRUE),IF($L24="TER C",VLOOKUP(BF24,TER!$K$5:$N$45,4,TRUE),0)))</f>
        <v>0</v>
      </c>
      <c r="BH24" s="61">
        <f t="shared" si="19"/>
        <v>0</v>
      </c>
      <c r="BI24" s="92">
        <f t="shared" si="20"/>
        <v>0</v>
      </c>
      <c r="BJ24" s="66">
        <f>IF($L24="TER A",VLOOKUP(BF24,TER!$A$5:$D$48,4,TRUE),IF($L24="TER B",VLOOKUP(BF24,TER!$F$5:$I$44,4,TRUE),IF($L24="TER C",VLOOKUP(BF24,TER!$K$5:$N$45,4,TRUE),0)))</f>
        <v>0</v>
      </c>
      <c r="BK24" s="98">
        <f t="shared" si="21"/>
        <v>0</v>
      </c>
      <c r="BM24" s="118">
        <f>'Data Gaji'!HL24</f>
        <v>0</v>
      </c>
      <c r="BN24" s="66">
        <f>IF($L24="TER A",VLOOKUP(BM24,TER!$A$5:$D$48,4,TRUE),IF($L24="TER B",VLOOKUP(BM24,TER!$F$5:$I$44,4,TRUE),IF($L24="TER C",VLOOKUP(BM24,TER!$K$5:$N$45,4,TRUE),0)))</f>
        <v>0</v>
      </c>
      <c r="BO24" s="61">
        <f t="shared" si="22"/>
        <v>0</v>
      </c>
      <c r="BP24" s="92">
        <f t="shared" si="23"/>
        <v>0</v>
      </c>
      <c r="BQ24" s="66">
        <f>IF($L24="TER A",VLOOKUP(BM24,TER!$A$5:$D$48,4,TRUE),IF($L24="TER B",VLOOKUP(BM24,TER!$F$5:$I$44,4,TRUE),IF($L24="TER C",VLOOKUP(BM24,TER!$K$5:$N$45,4,TRUE),0)))</f>
        <v>0</v>
      </c>
      <c r="BR24" s="98">
        <f t="shared" si="24"/>
        <v>0</v>
      </c>
      <c r="BT24" s="118">
        <f>'Data Gaji'!IL24</f>
        <v>0</v>
      </c>
      <c r="BU24" s="66">
        <f>IF($L24="TER A",VLOOKUP(BT24,TER!$A$5:$D$48,4,TRUE),IF($L24="TER B",VLOOKUP(BT24,TER!$F$5:$I$44,4,TRUE),IF($L24="TER C",VLOOKUP(BT24,TER!$K$5:$N$45,4,TRUE),0)))</f>
        <v>0</v>
      </c>
      <c r="BV24" s="61">
        <f t="shared" si="25"/>
        <v>0</v>
      </c>
      <c r="BW24" s="92">
        <f t="shared" si="26"/>
        <v>0</v>
      </c>
      <c r="BX24" s="66">
        <f>IF($L24="TER A",VLOOKUP(BT24,TER!$A$5:$D$48,4,TRUE),IF($L24="TER B",VLOOKUP(BT24,TER!$F$5:$I$44,4,TRUE),IF($L24="TER C",VLOOKUP(BT24,TER!$K$5:$N$45,4,TRUE),0)))</f>
        <v>0</v>
      </c>
      <c r="BY24" s="98">
        <f t="shared" si="27"/>
        <v>0</v>
      </c>
      <c r="CA24" s="118">
        <f>'Data Gaji'!JL24</f>
        <v>0</v>
      </c>
      <c r="CB24" s="66">
        <f>IF($L24="TER A",VLOOKUP(CA24,TER!$A$5:$D$48,4,TRUE),IF($L24="TER B",VLOOKUP(CA24,TER!$F$5:$I$44,4,TRUE),IF($L24="TER C",VLOOKUP(CA24,TER!$K$5:$N$45,4,TRUE),0)))</f>
        <v>0</v>
      </c>
      <c r="CC24" s="61">
        <f t="shared" si="28"/>
        <v>0</v>
      </c>
      <c r="CD24" s="92">
        <f t="shared" si="29"/>
        <v>0</v>
      </c>
      <c r="CE24" s="66">
        <f>IF($L24="TER A",VLOOKUP(CA24,TER!$A$5:$D$48,4,TRUE),IF($L24="TER B",VLOOKUP(CA24,TER!$F$5:$I$44,4,TRUE),IF($L24="TER C",VLOOKUP(CA24,TER!$K$5:$N$45,4,TRUE),0)))</f>
        <v>0</v>
      </c>
      <c r="CF24" s="98">
        <f t="shared" si="30"/>
        <v>0</v>
      </c>
      <c r="CH24" s="118">
        <f>'Data Gaji'!KL24</f>
        <v>0</v>
      </c>
      <c r="CI24" s="66">
        <f>IF($L24="TER A",VLOOKUP(CH24,TER!$A$5:$D$48,4,TRUE),IF($L24="TER B",VLOOKUP(CH24,TER!$F$5:$I$44,4,TRUE),IF($L24="TER C",VLOOKUP(CH24,TER!$K$5:$N$45,4,TRUE),0)))</f>
        <v>0</v>
      </c>
      <c r="CJ24" s="61">
        <f t="shared" si="31"/>
        <v>0</v>
      </c>
      <c r="CK24" s="92">
        <f t="shared" si="32"/>
        <v>0</v>
      </c>
      <c r="CL24" s="66">
        <f>IF($L24="TER A",VLOOKUP(CH24,TER!$A$5:$D$48,4,TRUE),IF($L24="TER B",VLOOKUP(CH24,TER!$F$5:$I$44,4,TRUE),IF($L24="TER C",VLOOKUP(CH24,TER!$K$5:$N$45,4,TRUE),0)))</f>
        <v>0</v>
      </c>
      <c r="CM24" s="98">
        <f t="shared" si="33"/>
        <v>0</v>
      </c>
      <c r="CO24" s="118">
        <f>'Data Gaji'!LL24</f>
        <v>0</v>
      </c>
      <c r="CP24" s="66">
        <f>IF($L24="TER A",VLOOKUP(CO24,TER!$A$5:$D$48,4,TRUE),IF($L24="TER B",VLOOKUP(CO24,TER!$F$5:$I$44,4,TRUE),IF($L24="TER C",VLOOKUP(CO24,TER!$K$5:$N$45,4,TRUE),0)))</f>
        <v>0</v>
      </c>
      <c r="CQ24" s="61">
        <f t="shared" si="34"/>
        <v>0</v>
      </c>
      <c r="CR24" s="92">
        <f t="shared" si="35"/>
        <v>0</v>
      </c>
      <c r="CS24" s="66">
        <f>IF($L24="TER A",VLOOKUP(CO24,TER!$A$5:$D$48,4,TRUE),IF($L24="TER B",VLOOKUP(CO24,TER!$F$5:$I$44,4,TRUE),IF($L24="TER C",VLOOKUP(CO24,TER!$K$5:$N$45,4,TRUE),0)))</f>
        <v>0</v>
      </c>
      <c r="CT24" s="98">
        <f t="shared" si="36"/>
        <v>0</v>
      </c>
    </row>
    <row r="25" spans="1:98" x14ac:dyDescent="0.35">
      <c r="A25" s="52">
        <f t="shared" si="0"/>
        <v>19</v>
      </c>
      <c r="B25" s="69"/>
      <c r="C25" s="73"/>
      <c r="D25" s="55"/>
      <c r="E25" s="281"/>
      <c r="F25" s="272"/>
      <c r="G25" s="277"/>
      <c r="H25" s="272"/>
      <c r="I25" s="272"/>
      <c r="J25" s="277"/>
      <c r="K25" s="272">
        <f>'Data Gaji'!K25</f>
        <v>0</v>
      </c>
      <c r="L25" s="67" t="str">
        <f>IF(ISNA(VLOOKUP(K25,'PTKP &amp; TARIF'!$D$4:$E$11,2,0)),"",VLOOKUP(K25,'PTKP &amp; TARIF'!$D$4:$E$11,2,0))</f>
        <v/>
      </c>
      <c r="M25" s="9"/>
      <c r="N25" s="9"/>
      <c r="O25" s="115" t="s">
        <v>92</v>
      </c>
      <c r="P25" s="118">
        <f>'Data Gaji'!AL25</f>
        <v>0</v>
      </c>
      <c r="Q25" s="66">
        <f>IF($L25="TER A",VLOOKUP(P25,TER!$A$5:$D$48,4,TRUE),IF($L25="TER B",VLOOKUP(P25,TER!$F$5:$I$44,4,TRUE),IF($L25="TER C",VLOOKUP(P25,TER!$K$5:$N$45,4,TRUE),0)))</f>
        <v>0</v>
      </c>
      <c r="R25" s="61">
        <f t="shared" ref="R25:R30" si="73">IF($O25="Ya",P25*Q25,0)</f>
        <v>0</v>
      </c>
      <c r="S25" s="92">
        <f t="shared" ref="S25:S30" si="74">P25+R25</f>
        <v>0</v>
      </c>
      <c r="T25" s="66">
        <f>IF($L25="TER A",VLOOKUP(P25,TER!$A$5:$D$48,4,TRUE),IF($L25="TER B",VLOOKUP(P25,TER!$F$5:$I$44,4,TRUE),IF($L25="TER C",VLOOKUP(P25,TER!$K$5:$N$45,4,TRUE),0)))</f>
        <v>0</v>
      </c>
      <c r="U25" s="98">
        <f t="shared" ref="U25:U30" si="75">ROUND(S25*T25,0)</f>
        <v>0</v>
      </c>
      <c r="W25" s="118">
        <f>'Data Gaji'!BL25</f>
        <v>0</v>
      </c>
      <c r="X25" s="66">
        <f>IF($L25="TER A",VLOOKUP(W25,TER!$A$5:$D$48,4,TRUE),IF($L25="TER B",VLOOKUP(W25,TER!$F$5:$I$44,4,TRUE),IF($L25="TER C",VLOOKUP(W25,TER!$K$5:$N$45,4,TRUE),0)))</f>
        <v>0</v>
      </c>
      <c r="Y25" s="61">
        <f t="shared" ref="Y25:Y30" si="76">IF($O25="Ya",W25*X25,0)</f>
        <v>0</v>
      </c>
      <c r="Z25" s="92">
        <f t="shared" ref="Z25:Z30" si="77">W25+Y25</f>
        <v>0</v>
      </c>
      <c r="AA25" s="66">
        <f>IF($L25="TER A",VLOOKUP(W25,TER!$A$5:$D$48,4,TRUE),IF($L25="TER B",VLOOKUP(W25,TER!$F$5:$I$44,4,TRUE),IF($L25="TER C",VLOOKUP(W25,TER!$K$5:$N$45,4,TRUE),0)))</f>
        <v>0</v>
      </c>
      <c r="AB25" s="98">
        <f t="shared" ref="AB25:AB30" si="78">ROUND(Z25*AA25,0)</f>
        <v>0</v>
      </c>
      <c r="AD25" s="118">
        <f>'Data Gaji'!CL25</f>
        <v>0</v>
      </c>
      <c r="AE25" s="66">
        <f>IF($L25="TER A",VLOOKUP(AD25,TER!$A$5:$D$48,4,TRUE),IF($L25="TER B",VLOOKUP(AD25,TER!$F$5:$I$44,4,TRUE),IF($L25="TER C",VLOOKUP(AD25,TER!$K$5:$N$45,4,TRUE),0)))</f>
        <v>0</v>
      </c>
      <c r="AF25" s="61">
        <f t="shared" ref="AF25:AF30" si="79">IF($O25="Ya",AD25*AE25,0)</f>
        <v>0</v>
      </c>
      <c r="AG25" s="92">
        <f t="shared" ref="AG25:AG30" si="80">AD25+AF25</f>
        <v>0</v>
      </c>
      <c r="AH25" s="66">
        <f>IF($L25="TER A",VLOOKUP(AD25,TER!$A$5:$D$48,4,TRUE),IF($L25="TER B",VLOOKUP(AD25,TER!$F$5:$I$44,4,TRUE),IF($L25="TER C",VLOOKUP(AD25,TER!$K$5:$N$45,4,TRUE),0)))</f>
        <v>0</v>
      </c>
      <c r="AI25" s="98">
        <f t="shared" ref="AI25:AI30" si="81">ROUND(AG25*AH25,0)</f>
        <v>0</v>
      </c>
      <c r="AK25" s="118">
        <f>'Data Gaji'!DL25</f>
        <v>0</v>
      </c>
      <c r="AL25" s="66">
        <f>IF($L25="TER A",VLOOKUP(AK25,TER!$A$5:$D$48,4,TRUE),IF($L25="TER B",VLOOKUP(AK25,TER!$F$5:$I$44,4,TRUE),IF($L25="TER C",VLOOKUP(AK25,TER!$K$5:$N$45,4,TRUE),0)))</f>
        <v>0</v>
      </c>
      <c r="AM25" s="61">
        <f t="shared" ref="AM25:AM30" si="82">IF($O25="Ya",AK25*AL25,0)</f>
        <v>0</v>
      </c>
      <c r="AN25" s="92">
        <f t="shared" ref="AN25:AN30" si="83">AK25+AM25</f>
        <v>0</v>
      </c>
      <c r="AO25" s="66">
        <f>IF($L25="TER A",VLOOKUP(AK25,TER!$A$5:$D$48,4,TRUE),IF($L25="TER B",VLOOKUP(AK25,TER!$F$5:$I$44,4,TRUE),IF($L25="TER C",VLOOKUP(AK25,TER!$K$5:$N$45,4,TRUE),0)))</f>
        <v>0</v>
      </c>
      <c r="AP25" s="98">
        <f t="shared" ref="AP25:AP30" si="84">ROUND(AN25*AO25,0)</f>
        <v>0</v>
      </c>
      <c r="AR25" s="118">
        <f>'Data Gaji'!EL25</f>
        <v>0</v>
      </c>
      <c r="AS25" s="66">
        <f>IF($L25="TER A",VLOOKUP(AR25,TER!$A$5:$D$48,4,TRUE),IF($L25="TER B",VLOOKUP(AR25,TER!$F$5:$I$44,4,TRUE),IF($L25="TER C",VLOOKUP(AR25,TER!$K$5:$N$45,4,TRUE),0)))</f>
        <v>0</v>
      </c>
      <c r="AT25" s="61">
        <f t="shared" ref="AT25:AT30" si="85">IF($O25="Ya",AR25*AS25,0)</f>
        <v>0</v>
      </c>
      <c r="AU25" s="92">
        <f t="shared" ref="AU25:AU30" si="86">AR25+AT25</f>
        <v>0</v>
      </c>
      <c r="AV25" s="66">
        <f>IF($L25="TER A",VLOOKUP(AR25,TER!$A$5:$D$48,4,TRUE),IF($L25="TER B",VLOOKUP(AR25,TER!$F$5:$I$44,4,TRUE),IF($L25="TER C",VLOOKUP(AR25,TER!$K$5:$N$45,4,TRUE),0)))</f>
        <v>0</v>
      </c>
      <c r="AW25" s="98">
        <f t="shared" ref="AW25:AW30" si="87">ROUND(AU25*AV25,0)</f>
        <v>0</v>
      </c>
      <c r="AY25" s="118">
        <f>'Data Gaji'!FL25</f>
        <v>0</v>
      </c>
      <c r="AZ25" s="66">
        <f>IF($L25="TER A",VLOOKUP(AY25,TER!$A$5:$D$48,4,TRUE),IF($L25="TER B",VLOOKUP(AY25,TER!$F$5:$I$44,4,TRUE),IF($L25="TER C",VLOOKUP(AY25,TER!$K$5:$N$45,4,TRUE),0)))</f>
        <v>0</v>
      </c>
      <c r="BA25" s="61">
        <f t="shared" ref="BA25:BA30" si="88">IF($O25="Ya",AY25*AZ25,0)</f>
        <v>0</v>
      </c>
      <c r="BB25" s="92">
        <f t="shared" ref="BB25:BB30" si="89">AY25+BA25</f>
        <v>0</v>
      </c>
      <c r="BC25" s="66">
        <f>IF($L25="TER A",VLOOKUP(AY25,TER!$A$5:$D$48,4,TRUE),IF($L25="TER B",VLOOKUP(AY25,TER!$F$5:$I$44,4,TRUE),IF($L25="TER C",VLOOKUP(AY25,TER!$K$5:$N$45,4,TRUE),0)))</f>
        <v>0</v>
      </c>
      <c r="BD25" s="98">
        <f t="shared" ref="BD25:BD30" si="90">ROUND(BB25*BC25,0)</f>
        <v>0</v>
      </c>
      <c r="BF25" s="118">
        <f>'Data Gaji'!GL25</f>
        <v>0</v>
      </c>
      <c r="BG25" s="66">
        <f>IF($L25="TER A",VLOOKUP(BF25,TER!$A$5:$D$48,4,TRUE),IF($L25="TER B",VLOOKUP(BF25,TER!$F$5:$I$44,4,TRUE),IF($L25="TER C",VLOOKUP(BF25,TER!$K$5:$N$45,4,TRUE),0)))</f>
        <v>0</v>
      </c>
      <c r="BH25" s="61">
        <f t="shared" ref="BH25:BH30" si="91">IF($O25="Ya",BF25*BG25,0)</f>
        <v>0</v>
      </c>
      <c r="BI25" s="92">
        <f t="shared" ref="BI25:BI30" si="92">BF25+BH25</f>
        <v>0</v>
      </c>
      <c r="BJ25" s="66">
        <f>IF($L25="TER A",VLOOKUP(BF25,TER!$A$5:$D$48,4,TRUE),IF($L25="TER B",VLOOKUP(BF25,TER!$F$5:$I$44,4,TRUE),IF($L25="TER C",VLOOKUP(BF25,TER!$K$5:$N$45,4,TRUE),0)))</f>
        <v>0</v>
      </c>
      <c r="BK25" s="98">
        <f t="shared" ref="BK25:BK30" si="93">ROUND(BI25*BJ25,0)</f>
        <v>0</v>
      </c>
      <c r="BM25" s="118">
        <f>'Data Gaji'!HL25</f>
        <v>0</v>
      </c>
      <c r="BN25" s="66">
        <f>IF($L25="TER A",VLOOKUP(BM25,TER!$A$5:$D$48,4,TRUE),IF($L25="TER B",VLOOKUP(BM25,TER!$F$5:$I$44,4,TRUE),IF($L25="TER C",VLOOKUP(BM25,TER!$K$5:$N$45,4,TRUE),0)))</f>
        <v>0</v>
      </c>
      <c r="BO25" s="61">
        <f t="shared" ref="BO25:BO30" si="94">IF($O25="Ya",BM25*BN25,0)</f>
        <v>0</v>
      </c>
      <c r="BP25" s="92">
        <f t="shared" ref="BP25:BP30" si="95">BM25+BO25</f>
        <v>0</v>
      </c>
      <c r="BQ25" s="66">
        <f>IF($L25="TER A",VLOOKUP(BM25,TER!$A$5:$D$48,4,TRUE),IF($L25="TER B",VLOOKUP(BM25,TER!$F$5:$I$44,4,TRUE),IF($L25="TER C",VLOOKUP(BM25,TER!$K$5:$N$45,4,TRUE),0)))</f>
        <v>0</v>
      </c>
      <c r="BR25" s="98">
        <f t="shared" ref="BR25:BR30" si="96">ROUND(BP25*BQ25,0)</f>
        <v>0</v>
      </c>
      <c r="BT25" s="118">
        <f>'Data Gaji'!IL25</f>
        <v>0</v>
      </c>
      <c r="BU25" s="66">
        <f>IF($L25="TER A",VLOOKUP(BT25,TER!$A$5:$D$48,4,TRUE),IF($L25="TER B",VLOOKUP(BT25,TER!$F$5:$I$44,4,TRUE),IF($L25="TER C",VLOOKUP(BT25,TER!$K$5:$N$45,4,TRUE),0)))</f>
        <v>0</v>
      </c>
      <c r="BV25" s="61">
        <f t="shared" ref="BV25:BV30" si="97">IF($O25="Ya",BT25*BU25,0)</f>
        <v>0</v>
      </c>
      <c r="BW25" s="92">
        <f t="shared" ref="BW25:BW30" si="98">BT25+BV25</f>
        <v>0</v>
      </c>
      <c r="BX25" s="66">
        <f>IF($L25="TER A",VLOOKUP(BT25,TER!$A$5:$D$48,4,TRUE),IF($L25="TER B",VLOOKUP(BT25,TER!$F$5:$I$44,4,TRUE),IF($L25="TER C",VLOOKUP(BT25,TER!$K$5:$N$45,4,TRUE),0)))</f>
        <v>0</v>
      </c>
      <c r="BY25" s="98">
        <f t="shared" ref="BY25:BY30" si="99">ROUND(BW25*BX25,0)</f>
        <v>0</v>
      </c>
      <c r="CA25" s="118">
        <f>'Data Gaji'!JL25</f>
        <v>0</v>
      </c>
      <c r="CB25" s="66">
        <f>IF($L25="TER A",VLOOKUP(CA25,TER!$A$5:$D$48,4,TRUE),IF($L25="TER B",VLOOKUP(CA25,TER!$F$5:$I$44,4,TRUE),IF($L25="TER C",VLOOKUP(CA25,TER!$K$5:$N$45,4,TRUE),0)))</f>
        <v>0</v>
      </c>
      <c r="CC25" s="61">
        <f t="shared" ref="CC25:CC30" si="100">IF($O25="Ya",CA25*CB25,0)</f>
        <v>0</v>
      </c>
      <c r="CD25" s="92">
        <f t="shared" ref="CD25:CD30" si="101">CA25+CC25</f>
        <v>0</v>
      </c>
      <c r="CE25" s="66">
        <f>IF($L25="TER A",VLOOKUP(CA25,TER!$A$5:$D$48,4,TRUE),IF($L25="TER B",VLOOKUP(CA25,TER!$F$5:$I$44,4,TRUE),IF($L25="TER C",VLOOKUP(CA25,TER!$K$5:$N$45,4,TRUE),0)))</f>
        <v>0</v>
      </c>
      <c r="CF25" s="98">
        <f t="shared" ref="CF25:CF30" si="102">ROUND(CD25*CE25,0)</f>
        <v>0</v>
      </c>
      <c r="CH25" s="118">
        <f>'Data Gaji'!KL25</f>
        <v>0</v>
      </c>
      <c r="CI25" s="66">
        <f>IF($L25="TER A",VLOOKUP(CH25,TER!$A$5:$D$48,4,TRUE),IF($L25="TER B",VLOOKUP(CH25,TER!$F$5:$I$44,4,TRUE),IF($L25="TER C",VLOOKUP(CH25,TER!$K$5:$N$45,4,TRUE),0)))</f>
        <v>0</v>
      </c>
      <c r="CJ25" s="61">
        <f t="shared" ref="CJ25:CJ30" si="103">IF($O25="Ya",CH25*CI25,0)</f>
        <v>0</v>
      </c>
      <c r="CK25" s="92">
        <f t="shared" ref="CK25:CK30" si="104">CH25+CJ25</f>
        <v>0</v>
      </c>
      <c r="CL25" s="66">
        <f>IF($L25="TER A",VLOOKUP(CH25,TER!$A$5:$D$48,4,TRUE),IF($L25="TER B",VLOOKUP(CH25,TER!$F$5:$I$44,4,TRUE),IF($L25="TER C",VLOOKUP(CH25,TER!$K$5:$N$45,4,TRUE),0)))</f>
        <v>0</v>
      </c>
      <c r="CM25" s="98">
        <f t="shared" ref="CM25:CM30" si="105">ROUND(CK25*CL25,0)</f>
        <v>0</v>
      </c>
      <c r="CO25" s="118">
        <f>'Data Gaji'!LL19</f>
        <v>0</v>
      </c>
      <c r="CP25" s="66">
        <f>IF($L25="TER A",VLOOKUP(CO25,TER!$A$5:$D$48,4,TRUE),IF($L25="TER B",VLOOKUP(CO25,TER!$F$5:$I$44,4,TRUE),IF($L25="TER C",VLOOKUP(CO25,TER!$K$5:$N$45,4,TRUE),0)))</f>
        <v>0</v>
      </c>
      <c r="CQ25" s="61">
        <f t="shared" ref="CQ25:CQ30" si="106">IF($O25="Ya",CO25*CP25,0)</f>
        <v>0</v>
      </c>
      <c r="CR25" s="92">
        <f t="shared" ref="CR25:CR30" si="107">CO25+CQ25</f>
        <v>0</v>
      </c>
      <c r="CS25" s="66">
        <f>IF($L25="TER A",VLOOKUP(CO25,TER!$A$5:$D$48,4,TRUE),IF($L25="TER B",VLOOKUP(CO25,TER!$F$5:$I$44,4,TRUE),IF($L25="TER C",VLOOKUP(CO25,TER!$K$5:$N$45,4,TRUE),0)))</f>
        <v>0</v>
      </c>
      <c r="CT25" s="98">
        <f t="shared" ref="CT25:CT30" si="108">CR25*CS25</f>
        <v>0</v>
      </c>
    </row>
    <row r="26" spans="1:98" x14ac:dyDescent="0.35">
      <c r="A26" s="52">
        <f t="shared" si="0"/>
        <v>20</v>
      </c>
      <c r="B26" s="69"/>
      <c r="C26" s="73"/>
      <c r="D26" s="55"/>
      <c r="E26" s="281"/>
      <c r="F26" s="272"/>
      <c r="G26" s="277"/>
      <c r="H26" s="272"/>
      <c r="I26" s="272"/>
      <c r="J26" s="277"/>
      <c r="K26" s="272">
        <f>'Data Gaji'!K26</f>
        <v>0</v>
      </c>
      <c r="L26" s="67" t="str">
        <f>IF(ISNA(VLOOKUP(K26,'PTKP &amp; TARIF'!$D$4:$E$11,2,0)),"",VLOOKUP(K26,'PTKP &amp; TARIF'!$D$4:$E$11,2,0))</f>
        <v/>
      </c>
      <c r="M26" s="9"/>
      <c r="N26" s="9"/>
      <c r="O26" s="115" t="s">
        <v>92</v>
      </c>
      <c r="P26" s="118">
        <f>'Data Gaji'!AL26</f>
        <v>0</v>
      </c>
      <c r="Q26" s="66">
        <f>IF($L26="TER A",VLOOKUP(P26,TER!$A$5:$D$48,4,TRUE),IF($L26="TER B",VLOOKUP(P26,TER!$F$5:$I$44,4,TRUE),IF($L26="TER C",VLOOKUP(P26,TER!$K$5:$N$45,4,TRUE),0)))</f>
        <v>0</v>
      </c>
      <c r="R26" s="61">
        <f t="shared" si="73"/>
        <v>0</v>
      </c>
      <c r="S26" s="92">
        <f t="shared" si="74"/>
        <v>0</v>
      </c>
      <c r="T26" s="66">
        <f>IF($L26="TER A",VLOOKUP(P26,TER!$A$5:$D$48,4,TRUE),IF($L26="TER B",VLOOKUP(P26,TER!$F$5:$I$44,4,TRUE),IF($L26="TER C",VLOOKUP(P26,TER!$K$5:$N$45,4,TRUE),0)))</f>
        <v>0</v>
      </c>
      <c r="U26" s="98">
        <f t="shared" si="75"/>
        <v>0</v>
      </c>
      <c r="W26" s="118">
        <f>'Data Gaji'!BL26</f>
        <v>0</v>
      </c>
      <c r="X26" s="66">
        <f>IF($L26="TER A",VLOOKUP(W26,TER!$A$5:$D$48,4,TRUE),IF($L26="TER B",VLOOKUP(W26,TER!$F$5:$I$44,4,TRUE),IF($L26="TER C",VLOOKUP(W26,TER!$K$5:$N$45,4,TRUE),0)))</f>
        <v>0</v>
      </c>
      <c r="Y26" s="61">
        <f t="shared" si="76"/>
        <v>0</v>
      </c>
      <c r="Z26" s="92">
        <f t="shared" si="77"/>
        <v>0</v>
      </c>
      <c r="AA26" s="66">
        <f>IF($L26="TER A",VLOOKUP(W26,TER!$A$5:$D$48,4,TRUE),IF($L26="TER B",VLOOKUP(W26,TER!$F$5:$I$44,4,TRUE),IF($L26="TER C",VLOOKUP(W26,TER!$K$5:$N$45,4,TRUE),0)))</f>
        <v>0</v>
      </c>
      <c r="AB26" s="98">
        <f t="shared" si="78"/>
        <v>0</v>
      </c>
      <c r="AD26" s="118">
        <f>'Data Gaji'!CL26</f>
        <v>0</v>
      </c>
      <c r="AE26" s="66">
        <f>IF($L26="TER A",VLOOKUP(AD26,TER!$A$5:$D$48,4,TRUE),IF($L26="TER B",VLOOKUP(AD26,TER!$F$5:$I$44,4,TRUE),IF($L26="TER C",VLOOKUP(AD26,TER!$K$5:$N$45,4,TRUE),0)))</f>
        <v>0</v>
      </c>
      <c r="AF26" s="61">
        <f t="shared" si="79"/>
        <v>0</v>
      </c>
      <c r="AG26" s="92">
        <f t="shared" si="80"/>
        <v>0</v>
      </c>
      <c r="AH26" s="66">
        <f>IF($L26="TER A",VLOOKUP(AD26,TER!$A$5:$D$48,4,TRUE),IF($L26="TER B",VLOOKUP(AD26,TER!$F$5:$I$44,4,TRUE),IF($L26="TER C",VLOOKUP(AD26,TER!$K$5:$N$45,4,TRUE),0)))</f>
        <v>0</v>
      </c>
      <c r="AI26" s="98">
        <f t="shared" si="81"/>
        <v>0</v>
      </c>
      <c r="AK26" s="118">
        <f>'Data Gaji'!DL26</f>
        <v>0</v>
      </c>
      <c r="AL26" s="66">
        <f>IF($L26="TER A",VLOOKUP(AK26,TER!$A$5:$D$48,4,TRUE),IF($L26="TER B",VLOOKUP(AK26,TER!$F$5:$I$44,4,TRUE),IF($L26="TER C",VLOOKUP(AK26,TER!$K$5:$N$45,4,TRUE),0)))</f>
        <v>0</v>
      </c>
      <c r="AM26" s="61">
        <f t="shared" si="82"/>
        <v>0</v>
      </c>
      <c r="AN26" s="92">
        <f t="shared" si="83"/>
        <v>0</v>
      </c>
      <c r="AO26" s="66">
        <f>IF($L26="TER A",VLOOKUP(AK26,TER!$A$5:$D$48,4,TRUE),IF($L26="TER B",VLOOKUP(AK26,TER!$F$5:$I$44,4,TRUE),IF($L26="TER C",VLOOKUP(AK26,TER!$K$5:$N$45,4,TRUE),0)))</f>
        <v>0</v>
      </c>
      <c r="AP26" s="98">
        <f t="shared" si="84"/>
        <v>0</v>
      </c>
      <c r="AR26" s="118">
        <f>'Data Gaji'!EL26</f>
        <v>0</v>
      </c>
      <c r="AS26" s="66">
        <f>IF($L26="TER A",VLOOKUP(AR26,TER!$A$5:$D$48,4,TRUE),IF($L26="TER B",VLOOKUP(AR26,TER!$F$5:$I$44,4,TRUE),IF($L26="TER C",VLOOKUP(AR26,TER!$K$5:$N$45,4,TRUE),0)))</f>
        <v>0</v>
      </c>
      <c r="AT26" s="61">
        <f t="shared" si="85"/>
        <v>0</v>
      </c>
      <c r="AU26" s="92">
        <f t="shared" si="86"/>
        <v>0</v>
      </c>
      <c r="AV26" s="66">
        <f>IF($L26="TER A",VLOOKUP(AR26,TER!$A$5:$D$48,4,TRUE),IF($L26="TER B",VLOOKUP(AR26,TER!$F$5:$I$44,4,TRUE),IF($L26="TER C",VLOOKUP(AR26,TER!$K$5:$N$45,4,TRUE),0)))</f>
        <v>0</v>
      </c>
      <c r="AW26" s="98">
        <f t="shared" si="87"/>
        <v>0</v>
      </c>
      <c r="AY26" s="118">
        <f>'Data Gaji'!FL26</f>
        <v>0</v>
      </c>
      <c r="AZ26" s="66">
        <f>IF($L26="TER A",VLOOKUP(AY26,TER!$A$5:$D$48,4,TRUE),IF($L26="TER B",VLOOKUP(AY26,TER!$F$5:$I$44,4,TRUE),IF($L26="TER C",VLOOKUP(AY26,TER!$K$5:$N$45,4,TRUE),0)))</f>
        <v>0</v>
      </c>
      <c r="BA26" s="61">
        <f t="shared" si="88"/>
        <v>0</v>
      </c>
      <c r="BB26" s="92">
        <f t="shared" si="89"/>
        <v>0</v>
      </c>
      <c r="BC26" s="66">
        <f>IF($L26="TER A",VLOOKUP(AY26,TER!$A$5:$D$48,4,TRUE),IF($L26="TER B",VLOOKUP(AY26,TER!$F$5:$I$44,4,TRUE),IF($L26="TER C",VLOOKUP(AY26,TER!$K$5:$N$45,4,TRUE),0)))</f>
        <v>0</v>
      </c>
      <c r="BD26" s="98">
        <f t="shared" si="90"/>
        <v>0</v>
      </c>
      <c r="BF26" s="118">
        <f>'Data Gaji'!GL26</f>
        <v>0</v>
      </c>
      <c r="BG26" s="66">
        <f>IF($L26="TER A",VLOOKUP(BF26,TER!$A$5:$D$48,4,TRUE),IF($L26="TER B",VLOOKUP(BF26,TER!$F$5:$I$44,4,TRUE),IF($L26="TER C",VLOOKUP(BF26,TER!$K$5:$N$45,4,TRUE),0)))</f>
        <v>0</v>
      </c>
      <c r="BH26" s="61">
        <f t="shared" si="91"/>
        <v>0</v>
      </c>
      <c r="BI26" s="92">
        <f t="shared" si="92"/>
        <v>0</v>
      </c>
      <c r="BJ26" s="66">
        <f>IF($L26="TER A",VLOOKUP(BF26,TER!$A$5:$D$48,4,TRUE),IF($L26="TER B",VLOOKUP(BF26,TER!$F$5:$I$44,4,TRUE),IF($L26="TER C",VLOOKUP(BF26,TER!$K$5:$N$45,4,TRUE),0)))</f>
        <v>0</v>
      </c>
      <c r="BK26" s="98">
        <f t="shared" si="93"/>
        <v>0</v>
      </c>
      <c r="BM26" s="118">
        <f>'Data Gaji'!HL26</f>
        <v>0</v>
      </c>
      <c r="BN26" s="66">
        <f>IF($L26="TER A",VLOOKUP(BM26,TER!$A$5:$D$48,4,TRUE),IF($L26="TER B",VLOOKUP(BM26,TER!$F$5:$I$44,4,TRUE),IF($L26="TER C",VLOOKUP(BM26,TER!$K$5:$N$45,4,TRUE),0)))</f>
        <v>0</v>
      </c>
      <c r="BO26" s="61">
        <f t="shared" si="94"/>
        <v>0</v>
      </c>
      <c r="BP26" s="92">
        <f t="shared" si="95"/>
        <v>0</v>
      </c>
      <c r="BQ26" s="66">
        <f>IF($L26="TER A",VLOOKUP(BM26,TER!$A$5:$D$48,4,TRUE),IF($L26="TER B",VLOOKUP(BM26,TER!$F$5:$I$44,4,TRUE),IF($L26="TER C",VLOOKUP(BM26,TER!$K$5:$N$45,4,TRUE),0)))</f>
        <v>0</v>
      </c>
      <c r="BR26" s="98">
        <f t="shared" si="96"/>
        <v>0</v>
      </c>
      <c r="BT26" s="118">
        <f>'Data Gaji'!IL26</f>
        <v>0</v>
      </c>
      <c r="BU26" s="66">
        <f>IF($L26="TER A",VLOOKUP(BT26,TER!$A$5:$D$48,4,TRUE),IF($L26="TER B",VLOOKUP(BT26,TER!$F$5:$I$44,4,TRUE),IF($L26="TER C",VLOOKUP(BT26,TER!$K$5:$N$45,4,TRUE),0)))</f>
        <v>0</v>
      </c>
      <c r="BV26" s="61">
        <f t="shared" si="97"/>
        <v>0</v>
      </c>
      <c r="BW26" s="92">
        <f t="shared" si="98"/>
        <v>0</v>
      </c>
      <c r="BX26" s="66">
        <f>IF($L26="TER A",VLOOKUP(BT26,TER!$A$5:$D$48,4,TRUE),IF($L26="TER B",VLOOKUP(BT26,TER!$F$5:$I$44,4,TRUE),IF($L26="TER C",VLOOKUP(BT26,TER!$K$5:$N$45,4,TRUE),0)))</f>
        <v>0</v>
      </c>
      <c r="BY26" s="98">
        <f t="shared" si="99"/>
        <v>0</v>
      </c>
      <c r="CA26" s="118">
        <f>'Data Gaji'!JL26</f>
        <v>0</v>
      </c>
      <c r="CB26" s="66">
        <f>IF($L26="TER A",VLOOKUP(CA26,TER!$A$5:$D$48,4,TRUE),IF($L26="TER B",VLOOKUP(CA26,TER!$F$5:$I$44,4,TRUE),IF($L26="TER C",VLOOKUP(CA26,TER!$K$5:$N$45,4,TRUE),0)))</f>
        <v>0</v>
      </c>
      <c r="CC26" s="61">
        <f t="shared" si="100"/>
        <v>0</v>
      </c>
      <c r="CD26" s="92">
        <f t="shared" si="101"/>
        <v>0</v>
      </c>
      <c r="CE26" s="66">
        <f>IF($L26="TER A",VLOOKUP(CA26,TER!$A$5:$D$48,4,TRUE),IF($L26="TER B",VLOOKUP(CA26,TER!$F$5:$I$44,4,TRUE),IF($L26="TER C",VLOOKUP(CA26,TER!$K$5:$N$45,4,TRUE),0)))</f>
        <v>0</v>
      </c>
      <c r="CF26" s="98">
        <f t="shared" si="102"/>
        <v>0</v>
      </c>
      <c r="CH26" s="118">
        <f>'Data Gaji'!KL26</f>
        <v>0</v>
      </c>
      <c r="CI26" s="66">
        <f>IF($L26="TER A",VLOOKUP(CH26,TER!$A$5:$D$48,4,TRUE),IF($L26="TER B",VLOOKUP(CH26,TER!$F$5:$I$44,4,TRUE),IF($L26="TER C",VLOOKUP(CH26,TER!$K$5:$N$45,4,TRUE),0)))</f>
        <v>0</v>
      </c>
      <c r="CJ26" s="61">
        <f t="shared" si="103"/>
        <v>0</v>
      </c>
      <c r="CK26" s="92">
        <f t="shared" si="104"/>
        <v>0</v>
      </c>
      <c r="CL26" s="66">
        <f>IF($L26="TER A",VLOOKUP(CH26,TER!$A$5:$D$48,4,TRUE),IF($L26="TER B",VLOOKUP(CH26,TER!$F$5:$I$44,4,TRUE),IF($L26="TER C",VLOOKUP(CH26,TER!$K$5:$N$45,4,TRUE),0)))</f>
        <v>0</v>
      </c>
      <c r="CM26" s="98">
        <f t="shared" si="105"/>
        <v>0</v>
      </c>
      <c r="CO26" s="118">
        <f>'Data Gaji'!LL20</f>
        <v>0</v>
      </c>
      <c r="CP26" s="66">
        <f>IF($L26="TER A",VLOOKUP(CO26,TER!$A$5:$D$48,4,TRUE),IF($L26="TER B",VLOOKUP(CO26,TER!$F$5:$I$44,4,TRUE),IF($L26="TER C",VLOOKUP(CO26,TER!$K$5:$N$45,4,TRUE),0)))</f>
        <v>0</v>
      </c>
      <c r="CQ26" s="61">
        <f t="shared" si="106"/>
        <v>0</v>
      </c>
      <c r="CR26" s="92">
        <f t="shared" si="107"/>
        <v>0</v>
      </c>
      <c r="CS26" s="66">
        <f>IF($L26="TER A",VLOOKUP(CO26,TER!$A$5:$D$48,4,TRUE),IF($L26="TER B",VLOOKUP(CO26,TER!$F$5:$I$44,4,TRUE),IF($L26="TER C",VLOOKUP(CO26,TER!$K$5:$N$45,4,TRUE),0)))</f>
        <v>0</v>
      </c>
      <c r="CT26" s="98">
        <f t="shared" si="108"/>
        <v>0</v>
      </c>
    </row>
    <row r="27" spans="1:98" x14ac:dyDescent="0.35">
      <c r="A27" s="52">
        <f t="shared" si="0"/>
        <v>21</v>
      </c>
      <c r="B27" s="69"/>
      <c r="C27" s="73"/>
      <c r="D27" s="55"/>
      <c r="E27" s="281"/>
      <c r="F27" s="272"/>
      <c r="G27" s="277"/>
      <c r="H27" s="272"/>
      <c r="I27" s="272"/>
      <c r="J27" s="277"/>
      <c r="K27" s="272">
        <f>'Data Gaji'!K27</f>
        <v>0</v>
      </c>
      <c r="L27" s="67" t="str">
        <f>IF(ISNA(VLOOKUP(K27,'PTKP &amp; TARIF'!$D$4:$E$11,2,0)),"",VLOOKUP(K27,'PTKP &amp; TARIF'!$D$4:$E$11,2,0))</f>
        <v/>
      </c>
      <c r="M27" s="9"/>
      <c r="N27" s="9"/>
      <c r="O27" s="115" t="s">
        <v>92</v>
      </c>
      <c r="P27" s="118">
        <f>'Data Gaji'!AL27</f>
        <v>0</v>
      </c>
      <c r="Q27" s="66">
        <f>IF($L27="TER A",VLOOKUP(P27,TER!$A$5:$D$48,4,TRUE),IF($L27="TER B",VLOOKUP(P27,TER!$F$5:$I$44,4,TRUE),IF($L27="TER C",VLOOKUP(P27,TER!$K$5:$N$45,4,TRUE),0)))</f>
        <v>0</v>
      </c>
      <c r="R27" s="61">
        <f t="shared" si="73"/>
        <v>0</v>
      </c>
      <c r="S27" s="92">
        <f t="shared" si="74"/>
        <v>0</v>
      </c>
      <c r="T27" s="66">
        <f>IF($L27="TER A",VLOOKUP(P27,TER!$A$5:$D$48,4,TRUE),IF($L27="TER B",VLOOKUP(P27,TER!$F$5:$I$44,4,TRUE),IF($L27="TER C",VLOOKUP(P27,TER!$K$5:$N$45,4,TRUE),0)))</f>
        <v>0</v>
      </c>
      <c r="U27" s="98">
        <f t="shared" si="75"/>
        <v>0</v>
      </c>
      <c r="W27" s="118">
        <f>'Data Gaji'!BL27</f>
        <v>0</v>
      </c>
      <c r="X27" s="66">
        <f>IF($L27="TER A",VLOOKUP(W27,TER!$A$5:$D$48,4,TRUE),IF($L27="TER B",VLOOKUP(W27,TER!$F$5:$I$44,4,TRUE),IF($L27="TER C",VLOOKUP(W27,TER!$K$5:$N$45,4,TRUE),0)))</f>
        <v>0</v>
      </c>
      <c r="Y27" s="61">
        <f t="shared" si="76"/>
        <v>0</v>
      </c>
      <c r="Z27" s="92">
        <f t="shared" si="77"/>
        <v>0</v>
      </c>
      <c r="AA27" s="66">
        <f>IF($L27="TER A",VLOOKUP(W27,TER!$A$5:$D$48,4,TRUE),IF($L27="TER B",VLOOKUP(W27,TER!$F$5:$I$44,4,TRUE),IF($L27="TER C",VLOOKUP(W27,TER!$K$5:$N$45,4,TRUE),0)))</f>
        <v>0</v>
      </c>
      <c r="AB27" s="98">
        <f t="shared" si="78"/>
        <v>0</v>
      </c>
      <c r="AD27" s="118">
        <f>'Data Gaji'!CL27</f>
        <v>0</v>
      </c>
      <c r="AE27" s="66">
        <f>IF($L27="TER A",VLOOKUP(AD27,TER!$A$5:$D$48,4,TRUE),IF($L27="TER B",VLOOKUP(AD27,TER!$F$5:$I$44,4,TRUE),IF($L27="TER C",VLOOKUP(AD27,TER!$K$5:$N$45,4,TRUE),0)))</f>
        <v>0</v>
      </c>
      <c r="AF27" s="61">
        <f t="shared" si="79"/>
        <v>0</v>
      </c>
      <c r="AG27" s="92">
        <f t="shared" si="80"/>
        <v>0</v>
      </c>
      <c r="AH27" s="66">
        <f>IF($L27="TER A",VLOOKUP(AD27,TER!$A$5:$D$48,4,TRUE),IF($L27="TER B",VLOOKUP(AD27,TER!$F$5:$I$44,4,TRUE),IF($L27="TER C",VLOOKUP(AD27,TER!$K$5:$N$45,4,TRUE),0)))</f>
        <v>0</v>
      </c>
      <c r="AI27" s="98">
        <f t="shared" si="81"/>
        <v>0</v>
      </c>
      <c r="AK27" s="118">
        <f>'Data Gaji'!DL27</f>
        <v>0</v>
      </c>
      <c r="AL27" s="66">
        <f>IF($L27="TER A",VLOOKUP(AK27,TER!$A$5:$D$48,4,TRUE),IF($L27="TER B",VLOOKUP(AK27,TER!$F$5:$I$44,4,TRUE),IF($L27="TER C",VLOOKUP(AK27,TER!$K$5:$N$45,4,TRUE),0)))</f>
        <v>0</v>
      </c>
      <c r="AM27" s="61">
        <f t="shared" si="82"/>
        <v>0</v>
      </c>
      <c r="AN27" s="92">
        <f t="shared" si="83"/>
        <v>0</v>
      </c>
      <c r="AO27" s="66">
        <f>IF($L27="TER A",VLOOKUP(AK27,TER!$A$5:$D$48,4,TRUE),IF($L27="TER B",VLOOKUP(AK27,TER!$F$5:$I$44,4,TRUE),IF($L27="TER C",VLOOKUP(AK27,TER!$K$5:$N$45,4,TRUE),0)))</f>
        <v>0</v>
      </c>
      <c r="AP27" s="98">
        <f t="shared" si="84"/>
        <v>0</v>
      </c>
      <c r="AR27" s="118">
        <f>'Data Gaji'!EL27</f>
        <v>0</v>
      </c>
      <c r="AS27" s="66">
        <f>IF($L27="TER A",VLOOKUP(AR27,TER!$A$5:$D$48,4,TRUE),IF($L27="TER B",VLOOKUP(AR27,TER!$F$5:$I$44,4,TRUE),IF($L27="TER C",VLOOKUP(AR27,TER!$K$5:$N$45,4,TRUE),0)))</f>
        <v>0</v>
      </c>
      <c r="AT27" s="61">
        <f t="shared" si="85"/>
        <v>0</v>
      </c>
      <c r="AU27" s="92">
        <f t="shared" si="86"/>
        <v>0</v>
      </c>
      <c r="AV27" s="66">
        <f>IF($L27="TER A",VLOOKUP(AR27,TER!$A$5:$D$48,4,TRUE),IF($L27="TER B",VLOOKUP(AR27,TER!$F$5:$I$44,4,TRUE),IF($L27="TER C",VLOOKUP(AR27,TER!$K$5:$N$45,4,TRUE),0)))</f>
        <v>0</v>
      </c>
      <c r="AW27" s="98">
        <f t="shared" si="87"/>
        <v>0</v>
      </c>
      <c r="AY27" s="118">
        <f>'Data Gaji'!FL27</f>
        <v>0</v>
      </c>
      <c r="AZ27" s="66">
        <f>IF($L27="TER A",VLOOKUP(AY27,TER!$A$5:$D$48,4,TRUE),IF($L27="TER B",VLOOKUP(AY27,TER!$F$5:$I$44,4,TRUE),IF($L27="TER C",VLOOKUP(AY27,TER!$K$5:$N$45,4,TRUE),0)))</f>
        <v>0</v>
      </c>
      <c r="BA27" s="61">
        <f t="shared" si="88"/>
        <v>0</v>
      </c>
      <c r="BB27" s="92">
        <f t="shared" si="89"/>
        <v>0</v>
      </c>
      <c r="BC27" s="66">
        <f>IF($L27="TER A",VLOOKUP(AY27,TER!$A$5:$D$48,4,TRUE),IF($L27="TER B",VLOOKUP(AY27,TER!$F$5:$I$44,4,TRUE),IF($L27="TER C",VLOOKUP(AY27,TER!$K$5:$N$45,4,TRUE),0)))</f>
        <v>0</v>
      </c>
      <c r="BD27" s="98">
        <f t="shared" si="90"/>
        <v>0</v>
      </c>
      <c r="BF27" s="118">
        <f>'Data Gaji'!GL27</f>
        <v>0</v>
      </c>
      <c r="BG27" s="66">
        <f>IF($L27="TER A",VLOOKUP(BF27,TER!$A$5:$D$48,4,TRUE),IF($L27="TER B",VLOOKUP(BF27,TER!$F$5:$I$44,4,TRUE),IF($L27="TER C",VLOOKUP(BF27,TER!$K$5:$N$45,4,TRUE),0)))</f>
        <v>0</v>
      </c>
      <c r="BH27" s="61">
        <f t="shared" si="91"/>
        <v>0</v>
      </c>
      <c r="BI27" s="92">
        <f t="shared" si="92"/>
        <v>0</v>
      </c>
      <c r="BJ27" s="66">
        <f>IF($L27="TER A",VLOOKUP(BF27,TER!$A$5:$D$48,4,TRUE),IF($L27="TER B",VLOOKUP(BF27,TER!$F$5:$I$44,4,TRUE),IF($L27="TER C",VLOOKUP(BF27,TER!$K$5:$N$45,4,TRUE),0)))</f>
        <v>0</v>
      </c>
      <c r="BK27" s="98">
        <f t="shared" si="93"/>
        <v>0</v>
      </c>
      <c r="BM27" s="118">
        <f>'Data Gaji'!HL27</f>
        <v>0</v>
      </c>
      <c r="BN27" s="66">
        <f>IF($L27="TER A",VLOOKUP(BM27,TER!$A$5:$D$48,4,TRUE),IF($L27="TER B",VLOOKUP(BM27,TER!$F$5:$I$44,4,TRUE),IF($L27="TER C",VLOOKUP(BM27,TER!$K$5:$N$45,4,TRUE),0)))</f>
        <v>0</v>
      </c>
      <c r="BO27" s="61">
        <f t="shared" si="94"/>
        <v>0</v>
      </c>
      <c r="BP27" s="92">
        <f t="shared" si="95"/>
        <v>0</v>
      </c>
      <c r="BQ27" s="66">
        <f>IF($L27="TER A",VLOOKUP(BM27,TER!$A$5:$D$48,4,TRUE),IF($L27="TER B",VLOOKUP(BM27,TER!$F$5:$I$44,4,TRUE),IF($L27="TER C",VLOOKUP(BM27,TER!$K$5:$N$45,4,TRUE),0)))</f>
        <v>0</v>
      </c>
      <c r="BR27" s="98">
        <f t="shared" si="96"/>
        <v>0</v>
      </c>
      <c r="BT27" s="118">
        <f>'Data Gaji'!IL27</f>
        <v>0</v>
      </c>
      <c r="BU27" s="66">
        <f>IF($L27="TER A",VLOOKUP(BT27,TER!$A$5:$D$48,4,TRUE),IF($L27="TER B",VLOOKUP(BT27,TER!$F$5:$I$44,4,TRUE),IF($L27="TER C",VLOOKUP(BT27,TER!$K$5:$N$45,4,TRUE),0)))</f>
        <v>0</v>
      </c>
      <c r="BV27" s="61">
        <f t="shared" si="97"/>
        <v>0</v>
      </c>
      <c r="BW27" s="92">
        <f t="shared" si="98"/>
        <v>0</v>
      </c>
      <c r="BX27" s="66">
        <f>IF($L27="TER A",VLOOKUP(BT27,TER!$A$5:$D$48,4,TRUE),IF($L27="TER B",VLOOKUP(BT27,TER!$F$5:$I$44,4,TRUE),IF($L27="TER C",VLOOKUP(BT27,TER!$K$5:$N$45,4,TRUE),0)))</f>
        <v>0</v>
      </c>
      <c r="BY27" s="98">
        <f t="shared" si="99"/>
        <v>0</v>
      </c>
      <c r="CA27" s="118">
        <f>'Data Gaji'!JL27</f>
        <v>0</v>
      </c>
      <c r="CB27" s="66">
        <f>IF($L27="TER A",VLOOKUP(CA27,TER!$A$5:$D$48,4,TRUE),IF($L27="TER B",VLOOKUP(CA27,TER!$F$5:$I$44,4,TRUE),IF($L27="TER C",VLOOKUP(CA27,TER!$K$5:$N$45,4,TRUE),0)))</f>
        <v>0</v>
      </c>
      <c r="CC27" s="61">
        <f t="shared" si="100"/>
        <v>0</v>
      </c>
      <c r="CD27" s="92">
        <f t="shared" si="101"/>
        <v>0</v>
      </c>
      <c r="CE27" s="66">
        <f>IF($L27="TER A",VLOOKUP(CA27,TER!$A$5:$D$48,4,TRUE),IF($L27="TER B",VLOOKUP(CA27,TER!$F$5:$I$44,4,TRUE),IF($L27="TER C",VLOOKUP(CA27,TER!$K$5:$N$45,4,TRUE),0)))</f>
        <v>0</v>
      </c>
      <c r="CF27" s="98">
        <f t="shared" si="102"/>
        <v>0</v>
      </c>
      <c r="CH27" s="118">
        <f>'Data Gaji'!KL27</f>
        <v>0</v>
      </c>
      <c r="CI27" s="66">
        <f>IF($L27="TER A",VLOOKUP(CH27,TER!$A$5:$D$48,4,TRUE),IF($L27="TER B",VLOOKUP(CH27,TER!$F$5:$I$44,4,TRUE),IF($L27="TER C",VLOOKUP(CH27,TER!$K$5:$N$45,4,TRUE),0)))</f>
        <v>0</v>
      </c>
      <c r="CJ27" s="61">
        <f t="shared" si="103"/>
        <v>0</v>
      </c>
      <c r="CK27" s="92">
        <f t="shared" si="104"/>
        <v>0</v>
      </c>
      <c r="CL27" s="66">
        <f>IF($L27="TER A",VLOOKUP(CH27,TER!$A$5:$D$48,4,TRUE),IF($L27="TER B",VLOOKUP(CH27,TER!$F$5:$I$44,4,TRUE),IF($L27="TER C",VLOOKUP(CH27,TER!$K$5:$N$45,4,TRUE),0)))</f>
        <v>0</v>
      </c>
      <c r="CM27" s="98">
        <f t="shared" si="105"/>
        <v>0</v>
      </c>
      <c r="CO27" s="118">
        <f>'Data Gaji'!LL21</f>
        <v>0</v>
      </c>
      <c r="CP27" s="66">
        <f>IF($L27="TER A",VLOOKUP(CO27,TER!$A$5:$D$48,4,TRUE),IF($L27="TER B",VLOOKUP(CO27,TER!$F$5:$I$44,4,TRUE),IF($L27="TER C",VLOOKUP(CO27,TER!$K$5:$N$45,4,TRUE),0)))</f>
        <v>0</v>
      </c>
      <c r="CQ27" s="61">
        <f t="shared" si="106"/>
        <v>0</v>
      </c>
      <c r="CR27" s="92">
        <f t="shared" si="107"/>
        <v>0</v>
      </c>
      <c r="CS27" s="66">
        <f>IF($L27="TER A",VLOOKUP(CO27,TER!$A$5:$D$48,4,TRUE),IF($L27="TER B",VLOOKUP(CO27,TER!$F$5:$I$44,4,TRUE),IF($L27="TER C",VLOOKUP(CO27,TER!$K$5:$N$45,4,TRUE),0)))</f>
        <v>0</v>
      </c>
      <c r="CT27" s="98">
        <f t="shared" si="108"/>
        <v>0</v>
      </c>
    </row>
    <row r="28" spans="1:98" x14ac:dyDescent="0.35">
      <c r="A28" s="52">
        <f t="shared" si="0"/>
        <v>22</v>
      </c>
      <c r="B28" s="69"/>
      <c r="C28" s="73"/>
      <c r="D28" s="55"/>
      <c r="E28" s="281"/>
      <c r="F28" s="272"/>
      <c r="G28" s="277"/>
      <c r="H28" s="272"/>
      <c r="I28" s="272"/>
      <c r="J28" s="277"/>
      <c r="K28" s="272">
        <f>'Data Gaji'!K28</f>
        <v>0</v>
      </c>
      <c r="L28" s="67" t="str">
        <f>IF(ISNA(VLOOKUP(K28,'PTKP &amp; TARIF'!$D$4:$E$11,2,0)),"",VLOOKUP(K28,'PTKP &amp; TARIF'!$D$4:$E$11,2,0))</f>
        <v/>
      </c>
      <c r="M28" s="9"/>
      <c r="N28" s="9"/>
      <c r="O28" s="115" t="s">
        <v>92</v>
      </c>
      <c r="P28" s="118">
        <f>'Data Gaji'!AL28</f>
        <v>0</v>
      </c>
      <c r="Q28" s="66">
        <f>IF($L28="TER A",VLOOKUP(P28,TER!$A$5:$D$48,4,TRUE),IF($L28="TER B",VLOOKUP(P28,TER!$F$5:$I$44,4,TRUE),IF($L28="TER C",VLOOKUP(P28,TER!$K$5:$N$45,4,TRUE),0)))</f>
        <v>0</v>
      </c>
      <c r="R28" s="61">
        <f t="shared" si="73"/>
        <v>0</v>
      </c>
      <c r="S28" s="92">
        <f t="shared" si="74"/>
        <v>0</v>
      </c>
      <c r="T28" s="66">
        <f>IF($L28="TER A",VLOOKUP(P28,TER!$A$5:$D$48,4,TRUE),IF($L28="TER B",VLOOKUP(P28,TER!$F$5:$I$44,4,TRUE),IF($L28="TER C",VLOOKUP(P28,TER!$K$5:$N$45,4,TRUE),0)))</f>
        <v>0</v>
      </c>
      <c r="U28" s="98">
        <f t="shared" si="75"/>
        <v>0</v>
      </c>
      <c r="W28" s="118">
        <f>'Data Gaji'!BL28</f>
        <v>0</v>
      </c>
      <c r="X28" s="66">
        <f>IF($L28="TER A",VLOOKUP(W28,TER!$A$5:$D$48,4,TRUE),IF($L28="TER B",VLOOKUP(W28,TER!$F$5:$I$44,4,TRUE),IF($L28="TER C",VLOOKUP(W28,TER!$K$5:$N$45,4,TRUE),0)))</f>
        <v>0</v>
      </c>
      <c r="Y28" s="61">
        <f t="shared" si="76"/>
        <v>0</v>
      </c>
      <c r="Z28" s="92">
        <f t="shared" si="77"/>
        <v>0</v>
      </c>
      <c r="AA28" s="66">
        <f>IF($L28="TER A",VLOOKUP(W28,TER!$A$5:$D$48,4,TRUE),IF($L28="TER B",VLOOKUP(W28,TER!$F$5:$I$44,4,TRUE),IF($L28="TER C",VLOOKUP(W28,TER!$K$5:$N$45,4,TRUE),0)))</f>
        <v>0</v>
      </c>
      <c r="AB28" s="98">
        <f t="shared" si="78"/>
        <v>0</v>
      </c>
      <c r="AD28" s="118">
        <f>'Data Gaji'!CL28</f>
        <v>0</v>
      </c>
      <c r="AE28" s="66">
        <f>IF($L28="TER A",VLOOKUP(AD28,TER!$A$5:$D$48,4,TRUE),IF($L28="TER B",VLOOKUP(AD28,TER!$F$5:$I$44,4,TRUE),IF($L28="TER C",VLOOKUP(AD28,TER!$K$5:$N$45,4,TRUE),0)))</f>
        <v>0</v>
      </c>
      <c r="AF28" s="61">
        <f t="shared" si="79"/>
        <v>0</v>
      </c>
      <c r="AG28" s="92">
        <f t="shared" si="80"/>
        <v>0</v>
      </c>
      <c r="AH28" s="66">
        <f>IF($L28="TER A",VLOOKUP(AD28,TER!$A$5:$D$48,4,TRUE),IF($L28="TER B",VLOOKUP(AD28,TER!$F$5:$I$44,4,TRUE),IF($L28="TER C",VLOOKUP(AD28,TER!$K$5:$N$45,4,TRUE),0)))</f>
        <v>0</v>
      </c>
      <c r="AI28" s="98">
        <f t="shared" si="81"/>
        <v>0</v>
      </c>
      <c r="AK28" s="118">
        <f>'Data Gaji'!DL28</f>
        <v>0</v>
      </c>
      <c r="AL28" s="66">
        <f>IF($L28="TER A",VLOOKUP(AK28,TER!$A$5:$D$48,4,TRUE),IF($L28="TER B",VLOOKUP(AK28,TER!$F$5:$I$44,4,TRUE),IF($L28="TER C",VLOOKUP(AK28,TER!$K$5:$N$45,4,TRUE),0)))</f>
        <v>0</v>
      </c>
      <c r="AM28" s="61">
        <f t="shared" si="82"/>
        <v>0</v>
      </c>
      <c r="AN28" s="92">
        <f t="shared" si="83"/>
        <v>0</v>
      </c>
      <c r="AO28" s="66">
        <f>IF($L28="TER A",VLOOKUP(AK28,TER!$A$5:$D$48,4,TRUE),IF($L28="TER B",VLOOKUP(AK28,TER!$F$5:$I$44,4,TRUE),IF($L28="TER C",VLOOKUP(AK28,TER!$K$5:$N$45,4,TRUE),0)))</f>
        <v>0</v>
      </c>
      <c r="AP28" s="98">
        <f t="shared" si="84"/>
        <v>0</v>
      </c>
      <c r="AR28" s="118">
        <f>'Data Gaji'!EL28</f>
        <v>0</v>
      </c>
      <c r="AS28" s="66">
        <f>IF($L28="TER A",VLOOKUP(AR28,TER!$A$5:$D$48,4,TRUE),IF($L28="TER B",VLOOKUP(AR28,TER!$F$5:$I$44,4,TRUE),IF($L28="TER C",VLOOKUP(AR28,TER!$K$5:$N$45,4,TRUE),0)))</f>
        <v>0</v>
      </c>
      <c r="AT28" s="61">
        <f t="shared" si="85"/>
        <v>0</v>
      </c>
      <c r="AU28" s="92">
        <f t="shared" si="86"/>
        <v>0</v>
      </c>
      <c r="AV28" s="66">
        <f>IF($L28="TER A",VLOOKUP(AR28,TER!$A$5:$D$48,4,TRUE),IF($L28="TER B",VLOOKUP(AR28,TER!$F$5:$I$44,4,TRUE),IF($L28="TER C",VLOOKUP(AR28,TER!$K$5:$N$45,4,TRUE),0)))</f>
        <v>0</v>
      </c>
      <c r="AW28" s="98">
        <f t="shared" si="87"/>
        <v>0</v>
      </c>
      <c r="AY28" s="118">
        <f>'Data Gaji'!FL28</f>
        <v>0</v>
      </c>
      <c r="AZ28" s="66">
        <f>IF($L28="TER A",VLOOKUP(AY28,TER!$A$5:$D$48,4,TRUE),IF($L28="TER B",VLOOKUP(AY28,TER!$F$5:$I$44,4,TRUE),IF($L28="TER C",VLOOKUP(AY28,TER!$K$5:$N$45,4,TRUE),0)))</f>
        <v>0</v>
      </c>
      <c r="BA28" s="61">
        <f t="shared" si="88"/>
        <v>0</v>
      </c>
      <c r="BB28" s="92">
        <f t="shared" si="89"/>
        <v>0</v>
      </c>
      <c r="BC28" s="66">
        <f>IF($L28="TER A",VLOOKUP(AY28,TER!$A$5:$D$48,4,TRUE),IF($L28="TER B",VLOOKUP(AY28,TER!$F$5:$I$44,4,TRUE),IF($L28="TER C",VLOOKUP(AY28,TER!$K$5:$N$45,4,TRUE),0)))</f>
        <v>0</v>
      </c>
      <c r="BD28" s="98">
        <f t="shared" si="90"/>
        <v>0</v>
      </c>
      <c r="BF28" s="118">
        <f>'Data Gaji'!GL28</f>
        <v>0</v>
      </c>
      <c r="BG28" s="66">
        <f>IF($L28="TER A",VLOOKUP(BF28,TER!$A$5:$D$48,4,TRUE),IF($L28="TER B",VLOOKUP(BF28,TER!$F$5:$I$44,4,TRUE),IF($L28="TER C",VLOOKUP(BF28,TER!$K$5:$N$45,4,TRUE),0)))</f>
        <v>0</v>
      </c>
      <c r="BH28" s="61">
        <f t="shared" si="91"/>
        <v>0</v>
      </c>
      <c r="BI28" s="92">
        <f t="shared" si="92"/>
        <v>0</v>
      </c>
      <c r="BJ28" s="66">
        <f>IF($L28="TER A",VLOOKUP(BF28,TER!$A$5:$D$48,4,TRUE),IF($L28="TER B",VLOOKUP(BF28,TER!$F$5:$I$44,4,TRUE),IF($L28="TER C",VLOOKUP(BF28,TER!$K$5:$N$45,4,TRUE),0)))</f>
        <v>0</v>
      </c>
      <c r="BK28" s="98">
        <f t="shared" si="93"/>
        <v>0</v>
      </c>
      <c r="BM28" s="118">
        <f>'Data Gaji'!HL28</f>
        <v>0</v>
      </c>
      <c r="BN28" s="66">
        <f>IF($L28="TER A",VLOOKUP(BM28,TER!$A$5:$D$48,4,TRUE),IF($L28="TER B",VLOOKUP(BM28,TER!$F$5:$I$44,4,TRUE),IF($L28="TER C",VLOOKUP(BM28,TER!$K$5:$N$45,4,TRUE),0)))</f>
        <v>0</v>
      </c>
      <c r="BO28" s="61">
        <f t="shared" si="94"/>
        <v>0</v>
      </c>
      <c r="BP28" s="92">
        <f t="shared" si="95"/>
        <v>0</v>
      </c>
      <c r="BQ28" s="66">
        <f>IF($L28="TER A",VLOOKUP(BM28,TER!$A$5:$D$48,4,TRUE),IF($L28="TER B",VLOOKUP(BM28,TER!$F$5:$I$44,4,TRUE),IF($L28="TER C",VLOOKUP(BM28,TER!$K$5:$N$45,4,TRUE),0)))</f>
        <v>0</v>
      </c>
      <c r="BR28" s="98">
        <f t="shared" si="96"/>
        <v>0</v>
      </c>
      <c r="BT28" s="118">
        <f>'Data Gaji'!IL28</f>
        <v>0</v>
      </c>
      <c r="BU28" s="66">
        <f>IF($L28="TER A",VLOOKUP(BT28,TER!$A$5:$D$48,4,TRUE),IF($L28="TER B",VLOOKUP(BT28,TER!$F$5:$I$44,4,TRUE),IF($L28="TER C",VLOOKUP(BT28,TER!$K$5:$N$45,4,TRUE),0)))</f>
        <v>0</v>
      </c>
      <c r="BV28" s="61">
        <f t="shared" si="97"/>
        <v>0</v>
      </c>
      <c r="BW28" s="92">
        <f t="shared" si="98"/>
        <v>0</v>
      </c>
      <c r="BX28" s="66">
        <f>IF($L28="TER A",VLOOKUP(BT28,TER!$A$5:$D$48,4,TRUE),IF($L28="TER B",VLOOKUP(BT28,TER!$F$5:$I$44,4,TRUE),IF($L28="TER C",VLOOKUP(BT28,TER!$K$5:$N$45,4,TRUE),0)))</f>
        <v>0</v>
      </c>
      <c r="BY28" s="98">
        <f t="shared" si="99"/>
        <v>0</v>
      </c>
      <c r="CA28" s="118">
        <f>'Data Gaji'!JL28</f>
        <v>0</v>
      </c>
      <c r="CB28" s="66">
        <f>IF($L28="TER A",VLOOKUP(CA28,TER!$A$5:$D$48,4,TRUE),IF($L28="TER B",VLOOKUP(CA28,TER!$F$5:$I$44,4,TRUE),IF($L28="TER C",VLOOKUP(CA28,TER!$K$5:$N$45,4,TRUE),0)))</f>
        <v>0</v>
      </c>
      <c r="CC28" s="61">
        <f t="shared" si="100"/>
        <v>0</v>
      </c>
      <c r="CD28" s="92">
        <f t="shared" si="101"/>
        <v>0</v>
      </c>
      <c r="CE28" s="66">
        <f>IF($L28="TER A",VLOOKUP(CA28,TER!$A$5:$D$48,4,TRUE),IF($L28="TER B",VLOOKUP(CA28,TER!$F$5:$I$44,4,TRUE),IF($L28="TER C",VLOOKUP(CA28,TER!$K$5:$N$45,4,TRUE),0)))</f>
        <v>0</v>
      </c>
      <c r="CF28" s="98">
        <f t="shared" si="102"/>
        <v>0</v>
      </c>
      <c r="CH28" s="118">
        <f>'Data Gaji'!KL28</f>
        <v>0</v>
      </c>
      <c r="CI28" s="66">
        <f>IF($L28="TER A",VLOOKUP(CH28,TER!$A$5:$D$48,4,TRUE),IF($L28="TER B",VLOOKUP(CH28,TER!$F$5:$I$44,4,TRUE),IF($L28="TER C",VLOOKUP(CH28,TER!$K$5:$N$45,4,TRUE),0)))</f>
        <v>0</v>
      </c>
      <c r="CJ28" s="61">
        <f t="shared" si="103"/>
        <v>0</v>
      </c>
      <c r="CK28" s="92">
        <f t="shared" si="104"/>
        <v>0</v>
      </c>
      <c r="CL28" s="66">
        <f>IF($L28="TER A",VLOOKUP(CH28,TER!$A$5:$D$48,4,TRUE),IF($L28="TER B",VLOOKUP(CH28,TER!$F$5:$I$44,4,TRUE),IF($L28="TER C",VLOOKUP(CH28,TER!$K$5:$N$45,4,TRUE),0)))</f>
        <v>0</v>
      </c>
      <c r="CM28" s="98">
        <f t="shared" si="105"/>
        <v>0</v>
      </c>
      <c r="CO28" s="118">
        <f>'Data Gaji'!LL22</f>
        <v>0</v>
      </c>
      <c r="CP28" s="66">
        <f>IF($L28="TER A",VLOOKUP(CO28,TER!$A$5:$D$48,4,TRUE),IF($L28="TER B",VLOOKUP(CO28,TER!$F$5:$I$44,4,TRUE),IF($L28="TER C",VLOOKUP(CO28,TER!$K$5:$N$45,4,TRUE),0)))</f>
        <v>0</v>
      </c>
      <c r="CQ28" s="61">
        <f t="shared" si="106"/>
        <v>0</v>
      </c>
      <c r="CR28" s="92">
        <f t="shared" si="107"/>
        <v>0</v>
      </c>
      <c r="CS28" s="66">
        <f>IF($L28="TER A",VLOOKUP(CO28,TER!$A$5:$D$48,4,TRUE),IF($L28="TER B",VLOOKUP(CO28,TER!$F$5:$I$44,4,TRUE),IF($L28="TER C",VLOOKUP(CO28,TER!$K$5:$N$45,4,TRUE),0)))</f>
        <v>0</v>
      </c>
      <c r="CT28" s="98">
        <f t="shared" si="108"/>
        <v>0</v>
      </c>
    </row>
    <row r="29" spans="1:98" ht="15" thickBot="1" x14ac:dyDescent="0.4">
      <c r="A29" s="52">
        <f t="shared" si="0"/>
        <v>23</v>
      </c>
      <c r="B29" s="69"/>
      <c r="C29" s="73"/>
      <c r="D29" s="55"/>
      <c r="E29" s="281"/>
      <c r="F29" s="272"/>
      <c r="G29" s="277"/>
      <c r="H29" s="272"/>
      <c r="I29" s="272"/>
      <c r="J29" s="277"/>
      <c r="K29" s="272">
        <f>'Data Gaji'!K29</f>
        <v>0</v>
      </c>
      <c r="L29" s="67" t="str">
        <f>IF(ISNA(VLOOKUP(K29,'PTKP &amp; TARIF'!$D$4:$E$11,2,0)),"",VLOOKUP(K29,'PTKP &amp; TARIF'!$D$4:$E$11,2,0))</f>
        <v/>
      </c>
      <c r="M29" s="9"/>
      <c r="N29" s="9"/>
      <c r="O29" s="115" t="s">
        <v>92</v>
      </c>
      <c r="P29" s="118">
        <f>'Data Gaji'!AL29</f>
        <v>0</v>
      </c>
      <c r="Q29" s="66">
        <f>IF($L29="TER A",VLOOKUP(P29,TER!$A$5:$D$48,4,TRUE),IF($L29="TER B",VLOOKUP(P29,TER!$F$5:$I$44,4,TRUE),IF($L29="TER C",VLOOKUP(P29,TER!$K$5:$N$45,4,TRUE),0)))</f>
        <v>0</v>
      </c>
      <c r="R29" s="61">
        <f t="shared" si="73"/>
        <v>0</v>
      </c>
      <c r="S29" s="120">
        <f t="shared" si="74"/>
        <v>0</v>
      </c>
      <c r="T29" s="66">
        <f>IF($L29="TER A",VLOOKUP(P29,TER!$A$5:$D$48,4,TRUE),IF($L29="TER B",VLOOKUP(P29,TER!$F$5:$I$44,4,TRUE),IF($L29="TER C",VLOOKUP(P29,TER!$K$5:$N$45,4,TRUE),0)))</f>
        <v>0</v>
      </c>
      <c r="U29" s="98">
        <f t="shared" si="75"/>
        <v>0</v>
      </c>
      <c r="W29" s="118">
        <f>'Data Gaji'!BL29</f>
        <v>0</v>
      </c>
      <c r="X29" s="66">
        <f>IF($L29="TER A",VLOOKUP(W29,TER!$A$5:$D$48,4,TRUE),IF($L29="TER B",VLOOKUP(W29,TER!$F$5:$I$44,4,TRUE),IF($L29="TER C",VLOOKUP(W29,TER!$K$5:$N$45,4,TRUE),0)))</f>
        <v>0</v>
      </c>
      <c r="Y29" s="119">
        <f t="shared" si="76"/>
        <v>0</v>
      </c>
      <c r="Z29" s="120">
        <f t="shared" si="77"/>
        <v>0</v>
      </c>
      <c r="AA29" s="66">
        <f>IF($L29="TER A",VLOOKUP(W29,TER!$A$5:$D$48,4,TRUE),IF($L29="TER B",VLOOKUP(W29,TER!$F$5:$I$44,4,TRUE),IF($L29="TER C",VLOOKUP(W29,TER!$K$5:$N$45,4,TRUE),0)))</f>
        <v>0</v>
      </c>
      <c r="AB29" s="98">
        <f t="shared" si="78"/>
        <v>0</v>
      </c>
      <c r="AD29" s="118">
        <f>'Data Gaji'!CL29</f>
        <v>0</v>
      </c>
      <c r="AE29" s="66">
        <f>IF($L29="TER A",VLOOKUP(AD29,TER!$A$5:$D$48,4,TRUE),IF($L29="TER B",VLOOKUP(AD29,TER!$F$5:$I$44,4,TRUE),IF($L29="TER C",VLOOKUP(AD29,TER!$K$5:$N$45,4,TRUE),0)))</f>
        <v>0</v>
      </c>
      <c r="AF29" s="119">
        <f t="shared" si="79"/>
        <v>0</v>
      </c>
      <c r="AG29" s="120">
        <f t="shared" si="80"/>
        <v>0</v>
      </c>
      <c r="AH29" s="66">
        <f>IF($L29="TER A",VLOOKUP(AD29,TER!$A$5:$D$48,4,TRUE),IF($L29="TER B",VLOOKUP(AD29,TER!$F$5:$I$44,4,TRUE),IF($L29="TER C",VLOOKUP(AD29,TER!$K$5:$N$45,4,TRUE),0)))</f>
        <v>0</v>
      </c>
      <c r="AI29" s="98">
        <f t="shared" si="81"/>
        <v>0</v>
      </c>
      <c r="AK29" s="118">
        <f>'Data Gaji'!DL29</f>
        <v>0</v>
      </c>
      <c r="AL29" s="66">
        <f>IF($L29="TER A",VLOOKUP(AK29,TER!$A$5:$D$48,4,TRUE),IF($L29="TER B",VLOOKUP(AK29,TER!$F$5:$I$44,4,TRUE),IF($L29="TER C",VLOOKUP(AK29,TER!$K$5:$N$45,4,TRUE),0)))</f>
        <v>0</v>
      </c>
      <c r="AM29" s="119">
        <f t="shared" si="82"/>
        <v>0</v>
      </c>
      <c r="AN29" s="120">
        <f t="shared" si="83"/>
        <v>0</v>
      </c>
      <c r="AO29" s="66">
        <f>IF($L29="TER A",VLOOKUP(AK29,TER!$A$5:$D$48,4,TRUE),IF($L29="TER B",VLOOKUP(AK29,TER!$F$5:$I$44,4,TRUE),IF($L29="TER C",VLOOKUP(AK29,TER!$K$5:$N$45,4,TRUE),0)))</f>
        <v>0</v>
      </c>
      <c r="AP29" s="98">
        <f t="shared" si="84"/>
        <v>0</v>
      </c>
      <c r="AR29" s="118">
        <f>'Data Gaji'!EL29</f>
        <v>0</v>
      </c>
      <c r="AS29" s="66">
        <f>IF($L29="TER A",VLOOKUP(AR29,TER!$A$5:$D$48,4,TRUE),IF($L29="TER B",VLOOKUP(AR29,TER!$F$5:$I$44,4,TRUE),IF($L29="TER C",VLOOKUP(AR29,TER!$K$5:$N$45,4,TRUE),0)))</f>
        <v>0</v>
      </c>
      <c r="AT29" s="119">
        <f t="shared" si="85"/>
        <v>0</v>
      </c>
      <c r="AU29" s="120">
        <f t="shared" si="86"/>
        <v>0</v>
      </c>
      <c r="AV29" s="66">
        <f>IF($L29="TER A",VLOOKUP(AR29,TER!$A$5:$D$48,4,TRUE),IF($L29="TER B",VLOOKUP(AR29,TER!$F$5:$I$44,4,TRUE),IF($L29="TER C",VLOOKUP(AR29,TER!$K$5:$N$45,4,TRUE),0)))</f>
        <v>0</v>
      </c>
      <c r="AW29" s="98">
        <f t="shared" si="87"/>
        <v>0</v>
      </c>
      <c r="AY29" s="118">
        <f>'Data Gaji'!FL29</f>
        <v>0</v>
      </c>
      <c r="AZ29" s="66">
        <f>IF($L29="TER A",VLOOKUP(AY29,TER!$A$5:$D$48,4,TRUE),IF($L29="TER B",VLOOKUP(AY29,TER!$F$5:$I$44,4,TRUE),IF($L29="TER C",VLOOKUP(AY29,TER!$K$5:$N$45,4,TRUE),0)))</f>
        <v>0</v>
      </c>
      <c r="BA29" s="119">
        <f t="shared" si="88"/>
        <v>0</v>
      </c>
      <c r="BB29" s="120">
        <f t="shared" si="89"/>
        <v>0</v>
      </c>
      <c r="BC29" s="66">
        <f>IF($L29="TER A",VLOOKUP(AY29,TER!$A$5:$D$48,4,TRUE),IF($L29="TER B",VLOOKUP(AY29,TER!$F$5:$I$44,4,TRUE),IF($L29="TER C",VLOOKUP(AY29,TER!$K$5:$N$45,4,TRUE),0)))</f>
        <v>0</v>
      </c>
      <c r="BD29" s="98">
        <f t="shared" si="90"/>
        <v>0</v>
      </c>
      <c r="BF29" s="118">
        <f>'Data Gaji'!GL29</f>
        <v>0</v>
      </c>
      <c r="BG29" s="66">
        <f>IF($L29="TER A",VLOOKUP(BF29,TER!$A$5:$D$48,4,TRUE),IF($L29="TER B",VLOOKUP(BF29,TER!$F$5:$I$44,4,TRUE),IF($L29="TER C",VLOOKUP(BF29,TER!$K$5:$N$45,4,TRUE),0)))</f>
        <v>0</v>
      </c>
      <c r="BH29" s="119">
        <f t="shared" si="91"/>
        <v>0</v>
      </c>
      <c r="BI29" s="120">
        <f t="shared" si="92"/>
        <v>0</v>
      </c>
      <c r="BJ29" s="66">
        <f>IF($L29="TER A",VLOOKUP(BF29,TER!$A$5:$D$48,4,TRUE),IF($L29="TER B",VLOOKUP(BF29,TER!$F$5:$I$44,4,TRUE),IF($L29="TER C",VLOOKUP(BF29,TER!$K$5:$N$45,4,TRUE),0)))</f>
        <v>0</v>
      </c>
      <c r="BK29" s="98">
        <f t="shared" si="93"/>
        <v>0</v>
      </c>
      <c r="BM29" s="118">
        <f>'Data Gaji'!HL29</f>
        <v>0</v>
      </c>
      <c r="BN29" s="66">
        <f>IF($L29="TER A",VLOOKUP(BM29,TER!$A$5:$D$48,4,TRUE),IF($L29="TER B",VLOOKUP(BM29,TER!$F$5:$I$44,4,TRUE),IF($L29="TER C",VLOOKUP(BM29,TER!$K$5:$N$45,4,TRUE),0)))</f>
        <v>0</v>
      </c>
      <c r="BO29" s="119">
        <f t="shared" si="94"/>
        <v>0</v>
      </c>
      <c r="BP29" s="120">
        <f t="shared" si="95"/>
        <v>0</v>
      </c>
      <c r="BQ29" s="66">
        <f>IF($L29="TER A",VLOOKUP(BM29,TER!$A$5:$D$48,4,TRUE),IF($L29="TER B",VLOOKUP(BM29,TER!$F$5:$I$44,4,TRUE),IF($L29="TER C",VLOOKUP(BM29,TER!$K$5:$N$45,4,TRUE),0)))</f>
        <v>0</v>
      </c>
      <c r="BR29" s="98">
        <f t="shared" si="96"/>
        <v>0</v>
      </c>
      <c r="BT29" s="118">
        <f>'Data Gaji'!IL29</f>
        <v>0</v>
      </c>
      <c r="BU29" s="66">
        <f>IF($L29="TER A",VLOOKUP(BT29,TER!$A$5:$D$48,4,TRUE),IF($L29="TER B",VLOOKUP(BT29,TER!$F$5:$I$44,4,TRUE),IF($L29="TER C",VLOOKUP(BT29,TER!$K$5:$N$45,4,TRUE),0)))</f>
        <v>0</v>
      </c>
      <c r="BV29" s="119">
        <f t="shared" si="97"/>
        <v>0</v>
      </c>
      <c r="BW29" s="120">
        <f t="shared" si="98"/>
        <v>0</v>
      </c>
      <c r="BX29" s="66">
        <f>IF($L29="TER A",VLOOKUP(BT29,TER!$A$5:$D$48,4,TRUE),IF($L29="TER B",VLOOKUP(BT29,TER!$F$5:$I$44,4,TRUE),IF($L29="TER C",VLOOKUP(BT29,TER!$K$5:$N$45,4,TRUE),0)))</f>
        <v>0</v>
      </c>
      <c r="BY29" s="98">
        <f t="shared" si="99"/>
        <v>0</v>
      </c>
      <c r="CA29" s="118">
        <f>'Data Gaji'!JL29</f>
        <v>0</v>
      </c>
      <c r="CB29" s="66">
        <f>IF($L29="TER A",VLOOKUP(CA29,TER!$A$5:$D$48,4,TRUE),IF($L29="TER B",VLOOKUP(CA29,TER!$F$5:$I$44,4,TRUE),IF($L29="TER C",VLOOKUP(CA29,TER!$K$5:$N$45,4,TRUE),0)))</f>
        <v>0</v>
      </c>
      <c r="CC29" s="119">
        <f t="shared" si="100"/>
        <v>0</v>
      </c>
      <c r="CD29" s="120">
        <f t="shared" si="101"/>
        <v>0</v>
      </c>
      <c r="CE29" s="66">
        <f>IF($L29="TER A",VLOOKUP(CA29,TER!$A$5:$D$48,4,TRUE),IF($L29="TER B",VLOOKUP(CA29,TER!$F$5:$I$44,4,TRUE),IF($L29="TER C",VLOOKUP(CA29,TER!$K$5:$N$45,4,TRUE),0)))</f>
        <v>0</v>
      </c>
      <c r="CF29" s="98">
        <f t="shared" si="102"/>
        <v>0</v>
      </c>
      <c r="CH29" s="118">
        <f>'Data Gaji'!KL29</f>
        <v>0</v>
      </c>
      <c r="CI29" s="66">
        <f>IF($L29="TER A",VLOOKUP(CH29,TER!$A$5:$D$48,4,TRUE),IF($L29="TER B",VLOOKUP(CH29,TER!$F$5:$I$44,4,TRUE),IF($L29="TER C",VLOOKUP(CH29,TER!$K$5:$N$45,4,TRUE),0)))</f>
        <v>0</v>
      </c>
      <c r="CJ29" s="119">
        <f t="shared" si="103"/>
        <v>0</v>
      </c>
      <c r="CK29" s="120">
        <f t="shared" si="104"/>
        <v>0</v>
      </c>
      <c r="CL29" s="66">
        <f>IF($L29="TER A",VLOOKUP(CH29,TER!$A$5:$D$48,4,TRUE),IF($L29="TER B",VLOOKUP(CH29,TER!$F$5:$I$44,4,TRUE),IF($L29="TER C",VLOOKUP(CH29,TER!$K$5:$N$45,4,TRUE),0)))</f>
        <v>0</v>
      </c>
      <c r="CM29" s="98">
        <f t="shared" si="105"/>
        <v>0</v>
      </c>
      <c r="CO29" s="118">
        <f>'Data Gaji'!LL22</f>
        <v>0</v>
      </c>
      <c r="CP29" s="66">
        <f>IF($L29="TER A",VLOOKUP(CO29,TER!$A$5:$D$48,4,TRUE),IF($L29="TER B",VLOOKUP(CO29,TER!$F$5:$I$44,4,TRUE),IF($L29="TER C",VLOOKUP(CO29,TER!$K$5:$N$45,4,TRUE),0)))</f>
        <v>0</v>
      </c>
      <c r="CQ29" s="119">
        <f t="shared" si="106"/>
        <v>0</v>
      </c>
      <c r="CR29" s="120">
        <f t="shared" si="107"/>
        <v>0</v>
      </c>
      <c r="CS29" s="66">
        <f>IF($L29="TER A",VLOOKUP(CO29,TER!$A$5:$D$48,4,TRUE),IF($L29="TER B",VLOOKUP(CO29,TER!$F$5:$I$44,4,TRUE),IF($L29="TER C",VLOOKUP(CO29,TER!$K$5:$N$45,4,TRUE),0)))</f>
        <v>0</v>
      </c>
      <c r="CT29" s="98">
        <f t="shared" si="108"/>
        <v>0</v>
      </c>
    </row>
    <row r="30" spans="1:98" ht="15.5" thickTop="1" thickBot="1" x14ac:dyDescent="0.4">
      <c r="A30" s="52">
        <f t="shared" si="0"/>
        <v>24</v>
      </c>
      <c r="B30" s="69"/>
      <c r="C30" s="73"/>
      <c r="D30" s="55"/>
      <c r="E30" s="281"/>
      <c r="F30" s="272"/>
      <c r="G30" s="277"/>
      <c r="H30" s="272"/>
      <c r="I30" s="272"/>
      <c r="J30" s="277"/>
      <c r="K30" s="272">
        <f>'Data Gaji'!K30</f>
        <v>0</v>
      </c>
      <c r="L30" s="67" t="str">
        <f>IF(ISNA(VLOOKUP(K30,'PTKP &amp; TARIF'!$D$4:$E$11,2,0)),"",VLOOKUP(K30,'PTKP &amp; TARIF'!$D$4:$E$11,2,0))</f>
        <v/>
      </c>
      <c r="M30" s="9"/>
      <c r="N30" s="9"/>
      <c r="O30" s="115" t="s">
        <v>92</v>
      </c>
      <c r="P30" s="118">
        <f>'Data Gaji'!AL30</f>
        <v>0</v>
      </c>
      <c r="Q30" s="66">
        <f>IF($L30="TER A",VLOOKUP(P30,TER!$A$5:$D$48,4,TRUE),IF($L30="TER B",VLOOKUP(P30,TER!$F$5:$I$44,4,TRUE),IF($L30="TER C",VLOOKUP(P30,TER!$K$5:$N$45,4,TRUE),0)))</f>
        <v>0</v>
      </c>
      <c r="R30" s="61">
        <f t="shared" si="73"/>
        <v>0</v>
      </c>
      <c r="S30" s="120">
        <f t="shared" si="74"/>
        <v>0</v>
      </c>
      <c r="T30" s="66">
        <f>IF($L30="TER A",VLOOKUP(P30,TER!$A$5:$D$48,4,TRUE),IF($L30="TER B",VLOOKUP(P30,TER!$F$5:$I$44,4,TRUE),IF($L30="TER C",VLOOKUP(P30,TER!$K$5:$N$45,4,TRUE),0)))</f>
        <v>0</v>
      </c>
      <c r="U30" s="274">
        <f t="shared" si="75"/>
        <v>0</v>
      </c>
      <c r="W30" s="118">
        <f>'Data Gaji'!BL30</f>
        <v>0</v>
      </c>
      <c r="X30" s="66">
        <f>IF($L30="TER A",VLOOKUP(W30,TER!$A$5:$D$48,4,TRUE),IF($L30="TER B",VLOOKUP(W30,TER!$F$5:$I$44,4,TRUE),IF($L30="TER C",VLOOKUP(W30,TER!$K$5:$N$45,4,TRUE),0)))</f>
        <v>0</v>
      </c>
      <c r="Y30" s="119">
        <f t="shared" si="76"/>
        <v>0</v>
      </c>
      <c r="Z30" s="120">
        <f t="shared" si="77"/>
        <v>0</v>
      </c>
      <c r="AA30" s="66">
        <f>IF($L30="TER A",VLOOKUP(W30,TER!$A$5:$D$48,4,TRUE),IF($L30="TER B",VLOOKUP(W30,TER!$F$5:$I$44,4,TRUE),IF($L30="TER C",VLOOKUP(W30,TER!$K$5:$N$45,4,TRUE),0)))</f>
        <v>0</v>
      </c>
      <c r="AB30" s="98">
        <f t="shared" si="78"/>
        <v>0</v>
      </c>
      <c r="AD30" s="118">
        <f>'Data Gaji'!CL30</f>
        <v>0</v>
      </c>
      <c r="AE30" s="66">
        <f>IF($L30="TER A",VLOOKUP(AD30,TER!$A$5:$D$48,4,TRUE),IF($L30="TER B",VLOOKUP(AD30,TER!$F$5:$I$44,4,TRUE),IF($L30="TER C",VLOOKUP(AD30,TER!$K$5:$N$45,4,TRUE),0)))</f>
        <v>0</v>
      </c>
      <c r="AF30" s="119">
        <f t="shared" si="79"/>
        <v>0</v>
      </c>
      <c r="AG30" s="120">
        <f t="shared" si="80"/>
        <v>0</v>
      </c>
      <c r="AH30" s="66">
        <f>IF($L30="TER A",VLOOKUP(AD30,TER!$A$5:$D$48,4,TRUE),IF($L30="TER B",VLOOKUP(AD30,TER!$F$5:$I$44,4,TRUE),IF($L30="TER C",VLOOKUP(AD30,TER!$K$5:$N$45,4,TRUE),0)))</f>
        <v>0</v>
      </c>
      <c r="AI30" s="98">
        <f t="shared" si="81"/>
        <v>0</v>
      </c>
      <c r="AK30" s="118">
        <f>'Data Gaji'!DL30</f>
        <v>0</v>
      </c>
      <c r="AL30" s="66">
        <f>IF($L30="TER A",VLOOKUP(AK30,TER!$A$5:$D$48,4,TRUE),IF($L30="TER B",VLOOKUP(AK30,TER!$F$5:$I$44,4,TRUE),IF($L30="TER C",VLOOKUP(AK30,TER!$K$5:$N$45,4,TRUE),0)))</f>
        <v>0</v>
      </c>
      <c r="AM30" s="119">
        <f t="shared" si="82"/>
        <v>0</v>
      </c>
      <c r="AN30" s="120">
        <f t="shared" si="83"/>
        <v>0</v>
      </c>
      <c r="AO30" s="66">
        <f>IF($L30="TER A",VLOOKUP(AK30,TER!$A$5:$D$48,4,TRUE),IF($L30="TER B",VLOOKUP(AK30,TER!$F$5:$I$44,4,TRUE),IF($L30="TER C",VLOOKUP(AK30,TER!$K$5:$N$45,4,TRUE),0)))</f>
        <v>0</v>
      </c>
      <c r="AP30" s="98">
        <f t="shared" si="84"/>
        <v>0</v>
      </c>
      <c r="AR30" s="118">
        <f>'Data Gaji'!EL30</f>
        <v>0</v>
      </c>
      <c r="AS30" s="66">
        <f>IF($L30="TER A",VLOOKUP(AR30,TER!$A$5:$D$48,4,TRUE),IF($L30="TER B",VLOOKUP(AR30,TER!$F$5:$I$44,4,TRUE),IF($L30="TER C",VLOOKUP(AR30,TER!$K$5:$N$45,4,TRUE),0)))</f>
        <v>0</v>
      </c>
      <c r="AT30" s="119">
        <f t="shared" si="85"/>
        <v>0</v>
      </c>
      <c r="AU30" s="120">
        <f t="shared" si="86"/>
        <v>0</v>
      </c>
      <c r="AV30" s="66">
        <f>IF($L30="TER A",VLOOKUP(AR30,TER!$A$5:$D$48,4,TRUE),IF($L30="TER B",VLOOKUP(AR30,TER!$F$5:$I$44,4,TRUE),IF($L30="TER C",VLOOKUP(AR30,TER!$K$5:$N$45,4,TRUE),0)))</f>
        <v>0</v>
      </c>
      <c r="AW30" s="98">
        <f t="shared" si="87"/>
        <v>0</v>
      </c>
      <c r="AY30" s="118">
        <f>'Data Gaji'!FL30</f>
        <v>0</v>
      </c>
      <c r="AZ30" s="66">
        <f>IF($L30="TER A",VLOOKUP(AY30,TER!$A$5:$D$48,4,TRUE),IF($L30="TER B",VLOOKUP(AY30,TER!$F$5:$I$44,4,TRUE),IF($L30="TER C",VLOOKUP(AY30,TER!$K$5:$N$45,4,TRUE),0)))</f>
        <v>0</v>
      </c>
      <c r="BA30" s="119">
        <f t="shared" si="88"/>
        <v>0</v>
      </c>
      <c r="BB30" s="120">
        <f t="shared" si="89"/>
        <v>0</v>
      </c>
      <c r="BC30" s="66">
        <f>IF($L30="TER A",VLOOKUP(AY30,TER!$A$5:$D$48,4,TRUE),IF($L30="TER B",VLOOKUP(AY30,TER!$F$5:$I$44,4,TRUE),IF($L30="TER C",VLOOKUP(AY30,TER!$K$5:$N$45,4,TRUE),0)))</f>
        <v>0</v>
      </c>
      <c r="BD30" s="98">
        <f t="shared" si="90"/>
        <v>0</v>
      </c>
      <c r="BF30" s="118">
        <f>'Data Gaji'!GL30</f>
        <v>0</v>
      </c>
      <c r="BG30" s="66">
        <f>IF($L30="TER A",VLOOKUP(BF30,TER!$A$5:$D$48,4,TRUE),IF($L30="TER B",VLOOKUP(BF30,TER!$F$5:$I$44,4,TRUE),IF($L30="TER C",VLOOKUP(BF30,TER!$K$5:$N$45,4,TRUE),0)))</f>
        <v>0</v>
      </c>
      <c r="BH30" s="119">
        <f t="shared" si="91"/>
        <v>0</v>
      </c>
      <c r="BI30" s="120">
        <f t="shared" si="92"/>
        <v>0</v>
      </c>
      <c r="BJ30" s="66">
        <f>IF($L30="TER A",VLOOKUP(BF30,TER!$A$5:$D$48,4,TRUE),IF($L30="TER B",VLOOKUP(BF30,TER!$F$5:$I$44,4,TRUE),IF($L30="TER C",VLOOKUP(BF30,TER!$K$5:$N$45,4,TRUE),0)))</f>
        <v>0</v>
      </c>
      <c r="BK30" s="98">
        <f t="shared" si="93"/>
        <v>0</v>
      </c>
      <c r="BM30" s="118">
        <f>'Data Gaji'!HL30</f>
        <v>0</v>
      </c>
      <c r="BN30" s="66">
        <f>IF($L30="TER A",VLOOKUP(BM30,TER!$A$5:$D$48,4,TRUE),IF($L30="TER B",VLOOKUP(BM30,TER!$F$5:$I$44,4,TRUE),IF($L30="TER C",VLOOKUP(BM30,TER!$K$5:$N$45,4,TRUE),0)))</f>
        <v>0</v>
      </c>
      <c r="BO30" s="119">
        <f t="shared" si="94"/>
        <v>0</v>
      </c>
      <c r="BP30" s="120">
        <f t="shared" si="95"/>
        <v>0</v>
      </c>
      <c r="BQ30" s="66">
        <f>IF($L30="TER A",VLOOKUP(BM30,TER!$A$5:$D$48,4,TRUE),IF($L30="TER B",VLOOKUP(BM30,TER!$F$5:$I$44,4,TRUE),IF($L30="TER C",VLOOKUP(BM30,TER!$K$5:$N$45,4,TRUE),0)))</f>
        <v>0</v>
      </c>
      <c r="BR30" s="98">
        <f t="shared" si="96"/>
        <v>0</v>
      </c>
      <c r="BT30" s="118">
        <f>'Data Gaji'!IL30</f>
        <v>0</v>
      </c>
      <c r="BU30" s="66">
        <f>IF($L30="TER A",VLOOKUP(BT30,TER!$A$5:$D$48,4,TRUE),IF($L30="TER B",VLOOKUP(BT30,TER!$F$5:$I$44,4,TRUE),IF($L30="TER C",VLOOKUP(BT30,TER!$K$5:$N$45,4,TRUE),0)))</f>
        <v>0</v>
      </c>
      <c r="BV30" s="119">
        <f t="shared" si="97"/>
        <v>0</v>
      </c>
      <c r="BW30" s="120">
        <f t="shared" si="98"/>
        <v>0</v>
      </c>
      <c r="BX30" s="66">
        <f>IF($L30="TER A",VLOOKUP(BT30,TER!$A$5:$D$48,4,TRUE),IF($L30="TER B",VLOOKUP(BT30,TER!$F$5:$I$44,4,TRUE),IF($L30="TER C",VLOOKUP(BT30,TER!$K$5:$N$45,4,TRUE),0)))</f>
        <v>0</v>
      </c>
      <c r="BY30" s="98">
        <f t="shared" si="99"/>
        <v>0</v>
      </c>
      <c r="CA30" s="118">
        <f>'Data Gaji'!JL30</f>
        <v>0</v>
      </c>
      <c r="CB30" s="66">
        <f>IF($L30="TER A",VLOOKUP(CA30,TER!$A$5:$D$48,4,TRUE),IF($L30="TER B",VLOOKUP(CA30,TER!$F$5:$I$44,4,TRUE),IF($L30="TER C",VLOOKUP(CA30,TER!$K$5:$N$45,4,TRUE),0)))</f>
        <v>0</v>
      </c>
      <c r="CC30" s="119">
        <f t="shared" si="100"/>
        <v>0</v>
      </c>
      <c r="CD30" s="120">
        <f t="shared" si="101"/>
        <v>0</v>
      </c>
      <c r="CE30" s="66">
        <f>IF($L30="TER A",VLOOKUP(CA30,TER!$A$5:$D$48,4,TRUE),IF($L30="TER B",VLOOKUP(CA30,TER!$F$5:$I$44,4,TRUE),IF($L30="TER C",VLOOKUP(CA30,TER!$K$5:$N$45,4,TRUE),0)))</f>
        <v>0</v>
      </c>
      <c r="CF30" s="98">
        <f t="shared" si="102"/>
        <v>0</v>
      </c>
      <c r="CH30" s="118">
        <f>'Data Gaji'!KL30</f>
        <v>0</v>
      </c>
      <c r="CI30" s="66">
        <f>IF($L30="TER A",VLOOKUP(CH30,TER!$A$5:$D$48,4,TRUE),IF($L30="TER B",VLOOKUP(CH30,TER!$F$5:$I$44,4,TRUE),IF($L30="TER C",VLOOKUP(CH30,TER!$K$5:$N$45,4,TRUE),0)))</f>
        <v>0</v>
      </c>
      <c r="CJ30" s="119">
        <f t="shared" si="103"/>
        <v>0</v>
      </c>
      <c r="CK30" s="120">
        <f t="shared" si="104"/>
        <v>0</v>
      </c>
      <c r="CL30" s="66">
        <f>IF($L30="TER A",VLOOKUP(CH30,TER!$A$5:$D$48,4,TRUE),IF($L30="TER B",VLOOKUP(CH30,TER!$F$5:$I$44,4,TRUE),IF($L30="TER C",VLOOKUP(CH30,TER!$K$5:$N$45,4,TRUE),0)))</f>
        <v>0</v>
      </c>
      <c r="CM30" s="98">
        <f t="shared" si="105"/>
        <v>0</v>
      </c>
      <c r="CO30" s="118">
        <f>'Data Gaji'!LL24</f>
        <v>0</v>
      </c>
      <c r="CP30" s="66">
        <f>IF($L30="TER A",VLOOKUP(CO30,TER!$A$5:$D$48,4,TRUE),IF($L30="TER B",VLOOKUP(CO30,TER!$F$5:$I$44,4,TRUE),IF($L30="TER C",VLOOKUP(CO30,TER!$K$5:$N$45,4,TRUE),0)))</f>
        <v>0</v>
      </c>
      <c r="CQ30" s="119">
        <f t="shared" si="106"/>
        <v>0</v>
      </c>
      <c r="CR30" s="120">
        <f t="shared" si="107"/>
        <v>0</v>
      </c>
      <c r="CS30" s="66">
        <f>IF($L30="TER A",VLOOKUP(CO30,TER!$A$5:$D$48,4,TRUE),IF($L30="TER B",VLOOKUP(CO30,TER!$F$5:$I$44,4,TRUE),IF($L30="TER C",VLOOKUP(CO30,TER!$K$5:$N$45,4,TRUE),0)))</f>
        <v>0</v>
      </c>
      <c r="CT30" s="98">
        <f t="shared" si="108"/>
        <v>0</v>
      </c>
    </row>
    <row r="31" spans="1:98" ht="15" thickTop="1" x14ac:dyDescent="0.35">
      <c r="A31" s="52">
        <f t="shared" si="0"/>
        <v>25</v>
      </c>
      <c r="B31" s="69"/>
      <c r="C31" s="73"/>
      <c r="D31" s="55"/>
      <c r="E31" s="281"/>
      <c r="F31" s="272"/>
      <c r="G31" s="277"/>
      <c r="H31" s="272"/>
      <c r="I31" s="272"/>
      <c r="J31" s="277"/>
      <c r="K31" s="272">
        <f>'Data Gaji'!K31</f>
        <v>0</v>
      </c>
      <c r="L31" s="67" t="str">
        <f>IF(ISNA(VLOOKUP(K31,'PTKP &amp; TARIF'!$D$4:$E$11,2,0)),"",VLOOKUP(K31,'PTKP &amp; TARIF'!$D$4:$E$11,2,0))</f>
        <v/>
      </c>
      <c r="M31" s="9"/>
      <c r="N31" s="9"/>
      <c r="O31" s="115" t="s">
        <v>92</v>
      </c>
      <c r="P31" s="118">
        <f>'Data Gaji'!AL31</f>
        <v>0</v>
      </c>
      <c r="Q31" s="66">
        <f>IF($L31="TER A",VLOOKUP(P31,TER!$A$5:$D$48,4,TRUE),IF($L31="TER B",VLOOKUP(P31,TER!$F$5:$I$44,4,TRUE),IF($L31="TER C",VLOOKUP(P31,TER!$K$5:$N$45,4,TRUE),0)))</f>
        <v>0</v>
      </c>
      <c r="R31" s="61">
        <f t="shared" si="1"/>
        <v>0</v>
      </c>
      <c r="S31" s="92">
        <f t="shared" si="2"/>
        <v>0</v>
      </c>
      <c r="T31" s="66">
        <f>IF($L31="TER A",VLOOKUP(P31,TER!$A$5:$D$48,4,TRUE),IF($L31="TER B",VLOOKUP(P31,TER!$F$5:$I$44,4,TRUE),IF($L31="TER C",VLOOKUP(P31,TER!$K$5:$N$45,4,TRUE),0)))</f>
        <v>0</v>
      </c>
      <c r="U31" s="98">
        <f t="shared" si="3"/>
        <v>0</v>
      </c>
      <c r="W31" s="118">
        <f>'Data Gaji'!BL31</f>
        <v>0</v>
      </c>
      <c r="X31" s="66">
        <f>IF($L31="TER A",VLOOKUP(W31,TER!$A$5:$D$48,4,TRUE),IF($L31="TER B",VLOOKUP(W31,TER!$F$5:$I$44,4,TRUE),IF($L31="TER C",VLOOKUP(W31,TER!$K$5:$N$45,4,TRUE),0)))</f>
        <v>0</v>
      </c>
      <c r="Y31" s="61">
        <f t="shared" si="4"/>
        <v>0</v>
      </c>
      <c r="Z31" s="92">
        <f t="shared" si="5"/>
        <v>0</v>
      </c>
      <c r="AA31" s="66">
        <f>IF($L31="TER A",VLOOKUP(W31,TER!$A$5:$D$48,4,TRUE),IF($L31="TER B",VLOOKUP(W31,TER!$F$5:$I$44,4,TRUE),IF($L31="TER C",VLOOKUP(W31,TER!$K$5:$N$45,4,TRUE),0)))</f>
        <v>0</v>
      </c>
      <c r="AB31" s="98">
        <f t="shared" si="6"/>
        <v>0</v>
      </c>
      <c r="AD31" s="118">
        <f>'Data Gaji'!CL31</f>
        <v>0</v>
      </c>
      <c r="AE31" s="66">
        <f>IF($L31="TER A",VLOOKUP(AD31,TER!$A$5:$D$48,4,TRUE),IF($L31="TER B",VLOOKUP(AD31,TER!$F$5:$I$44,4,TRUE),IF($L31="TER C",VLOOKUP(AD31,TER!$K$5:$N$45,4,TRUE),0)))</f>
        <v>0</v>
      </c>
      <c r="AF31" s="61">
        <f t="shared" si="7"/>
        <v>0</v>
      </c>
      <c r="AG31" s="92">
        <f t="shared" si="8"/>
        <v>0</v>
      </c>
      <c r="AH31" s="66">
        <f>IF($L31="TER A",VLOOKUP(AD31,TER!$A$5:$D$48,4,TRUE),IF($L31="TER B",VLOOKUP(AD31,TER!$F$5:$I$44,4,TRUE),IF($L31="TER C",VLOOKUP(AD31,TER!$K$5:$N$45,4,TRUE),0)))</f>
        <v>0</v>
      </c>
      <c r="AI31" s="98">
        <f t="shared" si="9"/>
        <v>0</v>
      </c>
      <c r="AK31" s="118">
        <f>'Data Gaji'!DL31</f>
        <v>0</v>
      </c>
      <c r="AL31" s="66">
        <f>IF($L31="TER A",VLOOKUP(AK31,TER!$A$5:$D$48,4,TRUE),IF($L31="TER B",VLOOKUP(AK31,TER!$F$5:$I$44,4,TRUE),IF($L31="TER C",VLOOKUP(AK31,TER!$K$5:$N$45,4,TRUE),0)))</f>
        <v>0</v>
      </c>
      <c r="AM31" s="61">
        <f t="shared" si="10"/>
        <v>0</v>
      </c>
      <c r="AN31" s="92">
        <f t="shared" si="11"/>
        <v>0</v>
      </c>
      <c r="AO31" s="66">
        <f>IF($L31="TER A",VLOOKUP(AK31,TER!$A$5:$D$48,4,TRUE),IF($L31="TER B",VLOOKUP(AK31,TER!$F$5:$I$44,4,TRUE),IF($L31="TER C",VLOOKUP(AK31,TER!$K$5:$N$45,4,TRUE),0)))</f>
        <v>0</v>
      </c>
      <c r="AP31" s="98">
        <f t="shared" si="12"/>
        <v>0</v>
      </c>
      <c r="AR31" s="118">
        <f>'Data Gaji'!EL31</f>
        <v>0</v>
      </c>
      <c r="AS31" s="66">
        <f>IF($L31="TER A",VLOOKUP(AR31,TER!$A$5:$D$48,4,TRUE),IF($L31="TER B",VLOOKUP(AR31,TER!$F$5:$I$44,4,TRUE),IF($L31="TER C",VLOOKUP(AR31,TER!$K$5:$N$45,4,TRUE),0)))</f>
        <v>0</v>
      </c>
      <c r="AT31" s="61">
        <f t="shared" si="13"/>
        <v>0</v>
      </c>
      <c r="AU31" s="92">
        <f t="shared" si="14"/>
        <v>0</v>
      </c>
      <c r="AV31" s="66">
        <f>IF($L31="TER A",VLOOKUP(AR31,TER!$A$5:$D$48,4,TRUE),IF($L31="TER B",VLOOKUP(AR31,TER!$F$5:$I$44,4,TRUE),IF($L31="TER C",VLOOKUP(AR31,TER!$K$5:$N$45,4,TRUE),0)))</f>
        <v>0</v>
      </c>
      <c r="AW31" s="98">
        <f t="shared" si="15"/>
        <v>0</v>
      </c>
      <c r="AY31" s="118">
        <f>'Data Gaji'!FL31</f>
        <v>0</v>
      </c>
      <c r="AZ31" s="66">
        <f>IF($L31="TER A",VLOOKUP(AY31,TER!$A$5:$D$48,4,TRUE),IF($L31="TER B",VLOOKUP(AY31,TER!$F$5:$I$44,4,TRUE),IF($L31="TER C",VLOOKUP(AY31,TER!$K$5:$N$45,4,TRUE),0)))</f>
        <v>0</v>
      </c>
      <c r="BA31" s="61">
        <f t="shared" si="16"/>
        <v>0</v>
      </c>
      <c r="BB31" s="92">
        <f t="shared" si="17"/>
        <v>0</v>
      </c>
      <c r="BC31" s="66">
        <f>IF($L31="TER A",VLOOKUP(AY31,TER!$A$5:$D$48,4,TRUE),IF($L31="TER B",VLOOKUP(AY31,TER!$F$5:$I$44,4,TRUE),IF($L31="TER C",VLOOKUP(AY31,TER!$K$5:$N$45,4,TRUE),0)))</f>
        <v>0</v>
      </c>
      <c r="BD31" s="98">
        <f t="shared" si="18"/>
        <v>0</v>
      </c>
      <c r="BF31" s="118">
        <f>'Data Gaji'!GL31</f>
        <v>0</v>
      </c>
      <c r="BG31" s="66">
        <f>IF($L31="TER A",VLOOKUP(BF31,TER!$A$5:$D$48,4,TRUE),IF($L31="TER B",VLOOKUP(BF31,TER!$F$5:$I$44,4,TRUE),IF($L31="TER C",VLOOKUP(BF31,TER!$K$5:$N$45,4,TRUE),0)))</f>
        <v>0</v>
      </c>
      <c r="BH31" s="61">
        <f t="shared" si="19"/>
        <v>0</v>
      </c>
      <c r="BI31" s="92">
        <f t="shared" si="20"/>
        <v>0</v>
      </c>
      <c r="BJ31" s="66">
        <f>IF($L31="TER A",VLOOKUP(BF31,TER!$A$5:$D$48,4,TRUE),IF($L31="TER B",VLOOKUP(BF31,TER!$F$5:$I$44,4,TRUE),IF($L31="TER C",VLOOKUP(BF31,TER!$K$5:$N$45,4,TRUE),0)))</f>
        <v>0</v>
      </c>
      <c r="BK31" s="98">
        <f t="shared" si="21"/>
        <v>0</v>
      </c>
      <c r="BM31" s="118">
        <f>'Data Gaji'!HL31</f>
        <v>0</v>
      </c>
      <c r="BN31" s="66">
        <f>IF($L31="TER A",VLOOKUP(BM31,TER!$A$5:$D$48,4,TRUE),IF($L31="TER B",VLOOKUP(BM31,TER!$F$5:$I$44,4,TRUE),IF($L31="TER C",VLOOKUP(BM31,TER!$K$5:$N$45,4,TRUE),0)))</f>
        <v>0</v>
      </c>
      <c r="BO31" s="61">
        <f t="shared" si="22"/>
        <v>0</v>
      </c>
      <c r="BP31" s="92">
        <f t="shared" si="23"/>
        <v>0</v>
      </c>
      <c r="BQ31" s="66">
        <f>IF($L31="TER A",VLOOKUP(BM31,TER!$A$5:$D$48,4,TRUE),IF($L31="TER B",VLOOKUP(BM31,TER!$F$5:$I$44,4,TRUE),IF($L31="TER C",VLOOKUP(BM31,TER!$K$5:$N$45,4,TRUE),0)))</f>
        <v>0</v>
      </c>
      <c r="BR31" s="98">
        <f t="shared" si="24"/>
        <v>0</v>
      </c>
      <c r="BT31" s="118">
        <f>'Data Gaji'!IL31</f>
        <v>0</v>
      </c>
      <c r="BU31" s="66">
        <f>IF($L31="TER A",VLOOKUP(BT31,TER!$A$5:$D$48,4,TRUE),IF($L31="TER B",VLOOKUP(BT31,TER!$F$5:$I$44,4,TRUE),IF($L31="TER C",VLOOKUP(BT31,TER!$K$5:$N$45,4,TRUE),0)))</f>
        <v>0</v>
      </c>
      <c r="BV31" s="61">
        <f t="shared" si="25"/>
        <v>0</v>
      </c>
      <c r="BW31" s="92">
        <f t="shared" si="26"/>
        <v>0</v>
      </c>
      <c r="BX31" s="66">
        <f>IF($L31="TER A",VLOOKUP(BT31,TER!$A$5:$D$48,4,TRUE),IF($L31="TER B",VLOOKUP(BT31,TER!$F$5:$I$44,4,TRUE),IF($L31="TER C",VLOOKUP(BT31,TER!$K$5:$N$45,4,TRUE),0)))</f>
        <v>0</v>
      </c>
      <c r="BY31" s="98">
        <f t="shared" si="27"/>
        <v>0</v>
      </c>
      <c r="CA31" s="118">
        <f>'Data Gaji'!JL31</f>
        <v>0</v>
      </c>
      <c r="CB31" s="66">
        <f>IF($L31="TER A",VLOOKUP(CA31,TER!$A$5:$D$48,4,TRUE),IF($L31="TER B",VLOOKUP(CA31,TER!$F$5:$I$44,4,TRUE),IF($L31="TER C",VLOOKUP(CA31,TER!$K$5:$N$45,4,TRUE),0)))</f>
        <v>0</v>
      </c>
      <c r="CC31" s="61">
        <f t="shared" si="28"/>
        <v>0</v>
      </c>
      <c r="CD31" s="92">
        <f t="shared" si="29"/>
        <v>0</v>
      </c>
      <c r="CE31" s="66">
        <f>IF($L31="TER A",VLOOKUP(CA31,TER!$A$5:$D$48,4,TRUE),IF($L31="TER B",VLOOKUP(CA31,TER!$F$5:$I$44,4,TRUE),IF($L31="TER C",VLOOKUP(CA31,TER!$K$5:$N$45,4,TRUE),0)))</f>
        <v>0</v>
      </c>
      <c r="CF31" s="98">
        <f t="shared" si="30"/>
        <v>0</v>
      </c>
      <c r="CH31" s="118">
        <f>'Data Gaji'!KL31</f>
        <v>0</v>
      </c>
      <c r="CI31" s="66">
        <f>IF($L31="TER A",VLOOKUP(CH31,TER!$A$5:$D$48,4,TRUE),IF($L31="TER B",VLOOKUP(CH31,TER!$F$5:$I$44,4,TRUE),IF($L31="TER C",VLOOKUP(CH31,TER!$K$5:$N$45,4,TRUE),0)))</f>
        <v>0</v>
      </c>
      <c r="CJ31" s="61">
        <f t="shared" si="31"/>
        <v>0</v>
      </c>
      <c r="CK31" s="92">
        <f t="shared" si="32"/>
        <v>0</v>
      </c>
      <c r="CL31" s="66">
        <f>IF($L31="TER A",VLOOKUP(CH31,TER!$A$5:$D$48,4,TRUE),IF($L31="TER B",VLOOKUP(CH31,TER!$F$5:$I$44,4,TRUE),IF($L31="TER C",VLOOKUP(CH31,TER!$K$5:$N$45,4,TRUE),0)))</f>
        <v>0</v>
      </c>
      <c r="CM31" s="98">
        <f t="shared" si="33"/>
        <v>0</v>
      </c>
      <c r="CO31" s="118">
        <f>'Data Gaji'!LL31</f>
        <v>0</v>
      </c>
      <c r="CP31" s="66">
        <f>IF($L31="TER A",VLOOKUP(CO31,TER!$A$5:$D$48,4,TRUE),IF($L31="TER B",VLOOKUP(CO31,TER!$F$5:$I$44,4,TRUE),IF($L31="TER C",VLOOKUP(CO31,TER!$K$5:$N$45,4,TRUE),0)))</f>
        <v>0</v>
      </c>
      <c r="CQ31" s="61">
        <f t="shared" si="34"/>
        <v>0</v>
      </c>
      <c r="CR31" s="92">
        <f t="shared" si="35"/>
        <v>0</v>
      </c>
      <c r="CS31" s="66">
        <f>IF($L31="TER A",VLOOKUP(CO31,TER!$A$5:$D$48,4,TRUE),IF($L31="TER B",VLOOKUP(CO31,TER!$F$5:$I$44,4,TRUE),IF($L31="TER C",VLOOKUP(CO31,TER!$K$5:$N$45,4,TRUE),0)))</f>
        <v>0</v>
      </c>
      <c r="CT31" s="98">
        <f t="shared" si="36"/>
        <v>0</v>
      </c>
    </row>
    <row r="32" spans="1:98" x14ac:dyDescent="0.35">
      <c r="A32" s="52">
        <f t="shared" si="0"/>
        <v>26</v>
      </c>
      <c r="B32" s="69"/>
      <c r="C32" s="73"/>
      <c r="D32" s="55"/>
      <c r="E32" s="281"/>
      <c r="F32" s="272"/>
      <c r="G32" s="277"/>
      <c r="H32" s="272"/>
      <c r="I32" s="272"/>
      <c r="J32" s="277"/>
      <c r="K32" s="272">
        <f>'Data Gaji'!K32</f>
        <v>0</v>
      </c>
      <c r="L32" s="67" t="str">
        <f>IF(ISNA(VLOOKUP(K32,'PTKP &amp; TARIF'!$D$4:$E$11,2,0)),"",VLOOKUP(K32,'PTKP &amp; TARIF'!$D$4:$E$11,2,0))</f>
        <v/>
      </c>
      <c r="M32" s="9"/>
      <c r="N32" s="9"/>
      <c r="O32" s="115" t="s">
        <v>92</v>
      </c>
      <c r="P32" s="118">
        <f>'Data Gaji'!AL32</f>
        <v>0</v>
      </c>
      <c r="Q32" s="66">
        <f>IF($L32="TER A",VLOOKUP(P32,TER!$A$5:$D$48,4,TRUE),IF($L32="TER B",VLOOKUP(P32,TER!$F$5:$I$44,4,TRUE),IF($L32="TER C",VLOOKUP(P32,TER!$K$5:$N$45,4,TRUE),0)))</f>
        <v>0</v>
      </c>
      <c r="R32" s="61">
        <f t="shared" si="1"/>
        <v>0</v>
      </c>
      <c r="S32" s="92">
        <f t="shared" si="2"/>
        <v>0</v>
      </c>
      <c r="T32" s="66">
        <f>IF($L32="TER A",VLOOKUP(P32,TER!$A$5:$D$48,4,TRUE),IF($L32="TER B",VLOOKUP(P32,TER!$F$5:$I$44,4,TRUE),IF($L32="TER C",VLOOKUP(P32,TER!$K$5:$N$45,4,TRUE),0)))</f>
        <v>0</v>
      </c>
      <c r="U32" s="98">
        <f t="shared" si="3"/>
        <v>0</v>
      </c>
      <c r="W32" s="118">
        <f>'Data Gaji'!BL32</f>
        <v>0</v>
      </c>
      <c r="X32" s="66">
        <f>IF($L32="TER A",VLOOKUP(W32,TER!$A$5:$D$48,4,TRUE),IF($L32="TER B",VLOOKUP(W32,TER!$F$5:$I$44,4,TRUE),IF($L32="TER C",VLOOKUP(W32,TER!$K$5:$N$45,4,TRUE),0)))</f>
        <v>0</v>
      </c>
      <c r="Y32" s="61">
        <f t="shared" si="4"/>
        <v>0</v>
      </c>
      <c r="Z32" s="92">
        <f t="shared" si="5"/>
        <v>0</v>
      </c>
      <c r="AA32" s="66">
        <f>IF($L32="TER A",VLOOKUP(W32,TER!$A$5:$D$48,4,TRUE),IF($L32="TER B",VLOOKUP(W32,TER!$F$5:$I$44,4,TRUE),IF($L32="TER C",VLOOKUP(W32,TER!$K$5:$N$45,4,TRUE),0)))</f>
        <v>0</v>
      </c>
      <c r="AB32" s="98">
        <f t="shared" si="6"/>
        <v>0</v>
      </c>
      <c r="AD32" s="118">
        <f>'Data Gaji'!CL32</f>
        <v>0</v>
      </c>
      <c r="AE32" s="66">
        <f>IF($L32="TER A",VLOOKUP(AD32,TER!$A$5:$D$48,4,TRUE),IF($L32="TER B",VLOOKUP(AD32,TER!$F$5:$I$44,4,TRUE),IF($L32="TER C",VLOOKUP(AD32,TER!$K$5:$N$45,4,TRUE),0)))</f>
        <v>0</v>
      </c>
      <c r="AF32" s="61">
        <f t="shared" si="7"/>
        <v>0</v>
      </c>
      <c r="AG32" s="92">
        <f t="shared" si="8"/>
        <v>0</v>
      </c>
      <c r="AH32" s="66">
        <f>IF($L32="TER A",VLOOKUP(AD32,TER!$A$5:$D$48,4,TRUE),IF($L32="TER B",VLOOKUP(AD32,TER!$F$5:$I$44,4,TRUE),IF($L32="TER C",VLOOKUP(AD32,TER!$K$5:$N$45,4,TRUE),0)))</f>
        <v>0</v>
      </c>
      <c r="AI32" s="98">
        <f t="shared" si="9"/>
        <v>0</v>
      </c>
      <c r="AK32" s="118">
        <f>'Data Gaji'!DL32</f>
        <v>0</v>
      </c>
      <c r="AL32" s="66">
        <f>IF($L32="TER A",VLOOKUP(AK32,TER!$A$5:$D$48,4,TRUE),IF($L32="TER B",VLOOKUP(AK32,TER!$F$5:$I$44,4,TRUE),IF($L32="TER C",VLOOKUP(AK32,TER!$K$5:$N$45,4,TRUE),0)))</f>
        <v>0</v>
      </c>
      <c r="AM32" s="61">
        <f t="shared" si="10"/>
        <v>0</v>
      </c>
      <c r="AN32" s="92">
        <f t="shared" si="11"/>
        <v>0</v>
      </c>
      <c r="AO32" s="66">
        <f>IF($L32="TER A",VLOOKUP(AK32,TER!$A$5:$D$48,4,TRUE),IF($L32="TER B",VLOOKUP(AK32,TER!$F$5:$I$44,4,TRUE),IF($L32="TER C",VLOOKUP(AK32,TER!$K$5:$N$45,4,TRUE),0)))</f>
        <v>0</v>
      </c>
      <c r="AP32" s="98">
        <f t="shared" si="12"/>
        <v>0</v>
      </c>
      <c r="AR32" s="118">
        <f>'Data Gaji'!EL32</f>
        <v>0</v>
      </c>
      <c r="AS32" s="66">
        <f>IF($L32="TER A",VLOOKUP(AR32,TER!$A$5:$D$48,4,TRUE),IF($L32="TER B",VLOOKUP(AR32,TER!$F$5:$I$44,4,TRUE),IF($L32="TER C",VLOOKUP(AR32,TER!$K$5:$N$45,4,TRUE),0)))</f>
        <v>0</v>
      </c>
      <c r="AT32" s="61">
        <f t="shared" si="13"/>
        <v>0</v>
      </c>
      <c r="AU32" s="92">
        <f t="shared" si="14"/>
        <v>0</v>
      </c>
      <c r="AV32" s="66">
        <f>IF($L32="TER A",VLOOKUP(AR32,TER!$A$5:$D$48,4,TRUE),IF($L32="TER B",VLOOKUP(AR32,TER!$F$5:$I$44,4,TRUE),IF($L32="TER C",VLOOKUP(AR32,TER!$K$5:$N$45,4,TRUE),0)))</f>
        <v>0</v>
      </c>
      <c r="AW32" s="98">
        <f t="shared" si="15"/>
        <v>0</v>
      </c>
      <c r="AY32" s="118">
        <f>'Data Gaji'!FL32</f>
        <v>0</v>
      </c>
      <c r="AZ32" s="66">
        <f>IF($L32="TER A",VLOOKUP(AY32,TER!$A$5:$D$48,4,TRUE),IF($L32="TER B",VLOOKUP(AY32,TER!$F$5:$I$44,4,TRUE),IF($L32="TER C",VLOOKUP(AY32,TER!$K$5:$N$45,4,TRUE),0)))</f>
        <v>0</v>
      </c>
      <c r="BA32" s="61">
        <f t="shared" si="16"/>
        <v>0</v>
      </c>
      <c r="BB32" s="92">
        <f t="shared" si="17"/>
        <v>0</v>
      </c>
      <c r="BC32" s="66">
        <f>IF($L32="TER A",VLOOKUP(AY32,TER!$A$5:$D$48,4,TRUE),IF($L32="TER B",VLOOKUP(AY32,TER!$F$5:$I$44,4,TRUE),IF($L32="TER C",VLOOKUP(AY32,TER!$K$5:$N$45,4,TRUE),0)))</f>
        <v>0</v>
      </c>
      <c r="BD32" s="98">
        <f t="shared" si="18"/>
        <v>0</v>
      </c>
      <c r="BF32" s="118">
        <f>'Data Gaji'!GL32</f>
        <v>0</v>
      </c>
      <c r="BG32" s="66">
        <f>IF($L32="TER A",VLOOKUP(BF32,TER!$A$5:$D$48,4,TRUE),IF($L32="TER B",VLOOKUP(BF32,TER!$F$5:$I$44,4,TRUE),IF($L32="TER C",VLOOKUP(BF32,TER!$K$5:$N$45,4,TRUE),0)))</f>
        <v>0</v>
      </c>
      <c r="BH32" s="61">
        <f t="shared" si="19"/>
        <v>0</v>
      </c>
      <c r="BI32" s="92">
        <f t="shared" si="20"/>
        <v>0</v>
      </c>
      <c r="BJ32" s="66">
        <f>IF($L32="TER A",VLOOKUP(BF32,TER!$A$5:$D$48,4,TRUE),IF($L32="TER B",VLOOKUP(BF32,TER!$F$5:$I$44,4,TRUE),IF($L32="TER C",VLOOKUP(BF32,TER!$K$5:$N$45,4,TRUE),0)))</f>
        <v>0</v>
      </c>
      <c r="BK32" s="98">
        <f t="shared" si="21"/>
        <v>0</v>
      </c>
      <c r="BM32" s="118">
        <f>'Data Gaji'!HL32</f>
        <v>0</v>
      </c>
      <c r="BN32" s="66">
        <f>IF($L32="TER A",VLOOKUP(BM32,TER!$A$5:$D$48,4,TRUE),IF($L32="TER B",VLOOKUP(BM32,TER!$F$5:$I$44,4,TRUE),IF($L32="TER C",VLOOKUP(BM32,TER!$K$5:$N$45,4,TRUE),0)))</f>
        <v>0</v>
      </c>
      <c r="BO32" s="61">
        <f t="shared" si="22"/>
        <v>0</v>
      </c>
      <c r="BP32" s="92">
        <f t="shared" si="23"/>
        <v>0</v>
      </c>
      <c r="BQ32" s="66">
        <f>IF($L32="TER A",VLOOKUP(BM32,TER!$A$5:$D$48,4,TRUE),IF($L32="TER B",VLOOKUP(BM32,TER!$F$5:$I$44,4,TRUE),IF($L32="TER C",VLOOKUP(BM32,TER!$K$5:$N$45,4,TRUE),0)))</f>
        <v>0</v>
      </c>
      <c r="BR32" s="98">
        <f t="shared" si="24"/>
        <v>0</v>
      </c>
      <c r="BT32" s="118">
        <f>'Data Gaji'!IL32</f>
        <v>0</v>
      </c>
      <c r="BU32" s="66">
        <f>IF($L32="TER A",VLOOKUP(BT32,TER!$A$5:$D$48,4,TRUE),IF($L32="TER B",VLOOKUP(BT32,TER!$F$5:$I$44,4,TRUE),IF($L32="TER C",VLOOKUP(BT32,TER!$K$5:$N$45,4,TRUE),0)))</f>
        <v>0</v>
      </c>
      <c r="BV32" s="61">
        <f t="shared" si="25"/>
        <v>0</v>
      </c>
      <c r="BW32" s="92">
        <f t="shared" si="26"/>
        <v>0</v>
      </c>
      <c r="BX32" s="66">
        <f>IF($L32="TER A",VLOOKUP(BT32,TER!$A$5:$D$48,4,TRUE),IF($L32="TER B",VLOOKUP(BT32,TER!$F$5:$I$44,4,TRUE),IF($L32="TER C",VLOOKUP(BT32,TER!$K$5:$N$45,4,TRUE),0)))</f>
        <v>0</v>
      </c>
      <c r="BY32" s="98">
        <f t="shared" si="27"/>
        <v>0</v>
      </c>
      <c r="CA32" s="118">
        <f>'Data Gaji'!JL32</f>
        <v>0</v>
      </c>
      <c r="CB32" s="66">
        <f>IF($L32="TER A",VLOOKUP(CA32,TER!$A$5:$D$48,4,TRUE),IF($L32="TER B",VLOOKUP(CA32,TER!$F$5:$I$44,4,TRUE),IF($L32="TER C",VLOOKUP(CA32,TER!$K$5:$N$45,4,TRUE),0)))</f>
        <v>0</v>
      </c>
      <c r="CC32" s="61">
        <f t="shared" si="28"/>
        <v>0</v>
      </c>
      <c r="CD32" s="92">
        <f t="shared" si="29"/>
        <v>0</v>
      </c>
      <c r="CE32" s="66">
        <f>IF($L32="TER A",VLOOKUP(CA32,TER!$A$5:$D$48,4,TRUE),IF($L32="TER B",VLOOKUP(CA32,TER!$F$5:$I$44,4,TRUE),IF($L32="TER C",VLOOKUP(CA32,TER!$K$5:$N$45,4,TRUE),0)))</f>
        <v>0</v>
      </c>
      <c r="CF32" s="98">
        <f t="shared" si="30"/>
        <v>0</v>
      </c>
      <c r="CH32" s="118">
        <f>'Data Gaji'!KL32</f>
        <v>0</v>
      </c>
      <c r="CI32" s="66">
        <f>IF($L32="TER A",VLOOKUP(CH32,TER!$A$5:$D$48,4,TRUE),IF($L32="TER B",VLOOKUP(CH32,TER!$F$5:$I$44,4,TRUE),IF($L32="TER C",VLOOKUP(CH32,TER!$K$5:$N$45,4,TRUE),0)))</f>
        <v>0</v>
      </c>
      <c r="CJ32" s="61">
        <f t="shared" si="31"/>
        <v>0</v>
      </c>
      <c r="CK32" s="92">
        <f t="shared" si="32"/>
        <v>0</v>
      </c>
      <c r="CL32" s="66">
        <f>IF($L32="TER A",VLOOKUP(CH32,TER!$A$5:$D$48,4,TRUE),IF($L32="TER B",VLOOKUP(CH32,TER!$F$5:$I$44,4,TRUE),IF($L32="TER C",VLOOKUP(CH32,TER!$K$5:$N$45,4,TRUE),0)))</f>
        <v>0</v>
      </c>
      <c r="CM32" s="98">
        <f t="shared" si="33"/>
        <v>0</v>
      </c>
      <c r="CO32" s="118">
        <f>'Data Gaji'!LL32</f>
        <v>0</v>
      </c>
      <c r="CP32" s="66">
        <f>IF($L32="TER A",VLOOKUP(CO32,TER!$A$5:$D$48,4,TRUE),IF($L32="TER B",VLOOKUP(CO32,TER!$F$5:$I$44,4,TRUE),IF($L32="TER C",VLOOKUP(CO32,TER!$K$5:$N$45,4,TRUE),0)))</f>
        <v>0</v>
      </c>
      <c r="CQ32" s="61">
        <f t="shared" si="34"/>
        <v>0</v>
      </c>
      <c r="CR32" s="92">
        <f t="shared" si="35"/>
        <v>0</v>
      </c>
      <c r="CS32" s="66">
        <f>IF($L32="TER A",VLOOKUP(CO32,TER!$A$5:$D$48,4,TRUE),IF($L32="TER B",VLOOKUP(CO32,TER!$F$5:$I$44,4,TRUE),IF($L32="TER C",VLOOKUP(CO32,TER!$K$5:$N$45,4,TRUE),0)))</f>
        <v>0</v>
      </c>
      <c r="CT32" s="98">
        <f t="shared" si="36"/>
        <v>0</v>
      </c>
    </row>
    <row r="33" spans="1:98" x14ac:dyDescent="0.35">
      <c r="A33" s="52">
        <f t="shared" si="0"/>
        <v>27</v>
      </c>
      <c r="B33" s="69"/>
      <c r="C33" s="73"/>
      <c r="D33" s="55"/>
      <c r="E33" s="282"/>
      <c r="F33" s="272"/>
      <c r="G33" s="278"/>
      <c r="H33" s="272"/>
      <c r="I33" s="54"/>
      <c r="J33" s="283"/>
      <c r="K33" s="272">
        <f>'Data Gaji'!K33</f>
        <v>0</v>
      </c>
      <c r="L33" s="67" t="str">
        <f>IF(ISNA(VLOOKUP(K33,'PTKP &amp; TARIF'!$D$4:$E$11,2,0)),"",VLOOKUP(K33,'PTKP &amp; TARIF'!$D$4:$E$11,2,0))</f>
        <v/>
      </c>
      <c r="M33" s="9"/>
      <c r="N33" s="9"/>
      <c r="O33" s="115" t="s">
        <v>92</v>
      </c>
      <c r="P33" s="118">
        <f>'Data Gaji'!AL33</f>
        <v>0</v>
      </c>
      <c r="Q33" s="66">
        <f>IF($L33="TER A",VLOOKUP(P33,TER!$A$5:$D$48,4,TRUE),IF($L33="TER B",VLOOKUP(P33,TER!$F$5:$I$44,4,TRUE),IF($L33="TER C",VLOOKUP(P33,TER!$K$5:$N$45,4,TRUE),0)))</f>
        <v>0</v>
      </c>
      <c r="R33" s="61">
        <f t="shared" si="1"/>
        <v>0</v>
      </c>
      <c r="S33" s="92">
        <f t="shared" si="2"/>
        <v>0</v>
      </c>
      <c r="T33" s="66">
        <f>IF($L33="TER A",VLOOKUP(P33,TER!$A$5:$D$48,4,TRUE),IF($L33="TER B",VLOOKUP(P33,TER!$F$5:$I$44,4,TRUE),IF($L33="TER C",VLOOKUP(P33,TER!$K$5:$N$45,4,TRUE),0)))</f>
        <v>0</v>
      </c>
      <c r="U33" s="98">
        <f t="shared" si="3"/>
        <v>0</v>
      </c>
      <c r="W33" s="118">
        <f>'Data Gaji'!BL33</f>
        <v>0</v>
      </c>
      <c r="X33" s="66">
        <f>IF($L33="TER A",VLOOKUP(W33,TER!$A$5:$D$48,4,TRUE),IF($L33="TER B",VLOOKUP(W33,TER!$F$5:$I$44,4,TRUE),IF($L33="TER C",VLOOKUP(W33,TER!$K$5:$N$45,4,TRUE),0)))</f>
        <v>0</v>
      </c>
      <c r="Y33" s="61">
        <f t="shared" si="4"/>
        <v>0</v>
      </c>
      <c r="Z33" s="92">
        <f t="shared" si="5"/>
        <v>0</v>
      </c>
      <c r="AA33" s="66">
        <f>IF($L33="TER A",VLOOKUP(W33,TER!$A$5:$D$48,4,TRUE),IF($L33="TER B",VLOOKUP(W33,TER!$F$5:$I$44,4,TRUE),IF($L33="TER C",VLOOKUP(W33,TER!$K$5:$N$45,4,TRUE),0)))</f>
        <v>0</v>
      </c>
      <c r="AB33" s="98">
        <f t="shared" si="6"/>
        <v>0</v>
      </c>
      <c r="AD33" s="118">
        <f>'Data Gaji'!CL33</f>
        <v>0</v>
      </c>
      <c r="AE33" s="66">
        <f>IF($L33="TER A",VLOOKUP(AD33,TER!$A$5:$D$48,4,TRUE),IF($L33="TER B",VLOOKUP(AD33,TER!$F$5:$I$44,4,TRUE),IF($L33="TER C",VLOOKUP(AD33,TER!$K$5:$N$45,4,TRUE),0)))</f>
        <v>0</v>
      </c>
      <c r="AF33" s="61">
        <f t="shared" si="7"/>
        <v>0</v>
      </c>
      <c r="AG33" s="92">
        <f t="shared" si="8"/>
        <v>0</v>
      </c>
      <c r="AH33" s="66">
        <f>IF($L33="TER A",VLOOKUP(AD33,TER!$A$5:$D$48,4,TRUE),IF($L33="TER B",VLOOKUP(AD33,TER!$F$5:$I$44,4,TRUE),IF($L33="TER C",VLOOKUP(AD33,TER!$K$5:$N$45,4,TRUE),0)))</f>
        <v>0</v>
      </c>
      <c r="AI33" s="98">
        <f t="shared" si="9"/>
        <v>0</v>
      </c>
      <c r="AK33" s="118">
        <f>'Data Gaji'!DL33</f>
        <v>0</v>
      </c>
      <c r="AL33" s="66">
        <f>IF($L33="TER A",VLOOKUP(AK33,TER!$A$5:$D$48,4,TRUE),IF($L33="TER B",VLOOKUP(AK33,TER!$F$5:$I$44,4,TRUE),IF($L33="TER C",VLOOKUP(AK33,TER!$K$5:$N$45,4,TRUE),0)))</f>
        <v>0</v>
      </c>
      <c r="AM33" s="61">
        <f t="shared" si="10"/>
        <v>0</v>
      </c>
      <c r="AN33" s="92">
        <f t="shared" si="11"/>
        <v>0</v>
      </c>
      <c r="AO33" s="66">
        <f>IF($L33="TER A",VLOOKUP(AK33,TER!$A$5:$D$48,4,TRUE),IF($L33="TER B",VLOOKUP(AK33,TER!$F$5:$I$44,4,TRUE),IF($L33="TER C",VLOOKUP(AK33,TER!$K$5:$N$45,4,TRUE),0)))</f>
        <v>0</v>
      </c>
      <c r="AP33" s="98">
        <f t="shared" si="12"/>
        <v>0</v>
      </c>
      <c r="AR33" s="118">
        <f>'Data Gaji'!EL33</f>
        <v>0</v>
      </c>
      <c r="AS33" s="66">
        <f>IF($L33="TER A",VLOOKUP(AR33,TER!$A$5:$D$48,4,TRUE),IF($L33="TER B",VLOOKUP(AR33,TER!$F$5:$I$44,4,TRUE),IF($L33="TER C",VLOOKUP(AR33,TER!$K$5:$N$45,4,TRUE),0)))</f>
        <v>0</v>
      </c>
      <c r="AT33" s="61">
        <f t="shared" si="13"/>
        <v>0</v>
      </c>
      <c r="AU33" s="92">
        <f t="shared" si="14"/>
        <v>0</v>
      </c>
      <c r="AV33" s="66">
        <f>IF($L33="TER A",VLOOKUP(AR33,TER!$A$5:$D$48,4,TRUE),IF($L33="TER B",VLOOKUP(AR33,TER!$F$5:$I$44,4,TRUE),IF($L33="TER C",VLOOKUP(AR33,TER!$K$5:$N$45,4,TRUE),0)))</f>
        <v>0</v>
      </c>
      <c r="AW33" s="98">
        <f t="shared" si="15"/>
        <v>0</v>
      </c>
      <c r="AY33" s="118">
        <f>'Data Gaji'!FL33</f>
        <v>0</v>
      </c>
      <c r="AZ33" s="66">
        <f>IF($L33="TER A",VLOOKUP(AY33,TER!$A$5:$D$48,4,TRUE),IF($L33="TER B",VLOOKUP(AY33,TER!$F$5:$I$44,4,TRUE),IF($L33="TER C",VLOOKUP(AY33,TER!$K$5:$N$45,4,TRUE),0)))</f>
        <v>0</v>
      </c>
      <c r="BA33" s="61">
        <f t="shared" si="16"/>
        <v>0</v>
      </c>
      <c r="BB33" s="92">
        <f t="shared" si="17"/>
        <v>0</v>
      </c>
      <c r="BC33" s="66">
        <f>IF($L33="TER A",VLOOKUP(AY33,TER!$A$5:$D$48,4,TRUE),IF($L33="TER B",VLOOKUP(AY33,TER!$F$5:$I$44,4,TRUE),IF($L33="TER C",VLOOKUP(AY33,TER!$K$5:$N$45,4,TRUE),0)))</f>
        <v>0</v>
      </c>
      <c r="BD33" s="98">
        <f t="shared" si="18"/>
        <v>0</v>
      </c>
      <c r="BF33" s="118">
        <f>'Data Gaji'!GL33</f>
        <v>0</v>
      </c>
      <c r="BG33" s="66">
        <f>IF($L33="TER A",VLOOKUP(BF33,TER!$A$5:$D$48,4,TRUE),IF($L33="TER B",VLOOKUP(BF33,TER!$F$5:$I$44,4,TRUE),IF($L33="TER C",VLOOKUP(BF33,TER!$K$5:$N$45,4,TRUE),0)))</f>
        <v>0</v>
      </c>
      <c r="BH33" s="61">
        <f t="shared" si="19"/>
        <v>0</v>
      </c>
      <c r="BI33" s="92">
        <f t="shared" si="20"/>
        <v>0</v>
      </c>
      <c r="BJ33" s="66">
        <f>IF($L33="TER A",VLOOKUP(BF33,TER!$A$5:$D$48,4,TRUE),IF($L33="TER B",VLOOKUP(BF33,TER!$F$5:$I$44,4,TRUE),IF($L33="TER C",VLOOKUP(BF33,TER!$K$5:$N$45,4,TRUE),0)))</f>
        <v>0</v>
      </c>
      <c r="BK33" s="98">
        <f t="shared" si="21"/>
        <v>0</v>
      </c>
      <c r="BM33" s="118">
        <f>'Data Gaji'!HL33</f>
        <v>0</v>
      </c>
      <c r="BN33" s="66">
        <f>IF($L33="TER A",VLOOKUP(BM33,TER!$A$5:$D$48,4,TRUE),IF($L33="TER B",VLOOKUP(BM33,TER!$F$5:$I$44,4,TRUE),IF($L33="TER C",VLOOKUP(BM33,TER!$K$5:$N$45,4,TRUE),0)))</f>
        <v>0</v>
      </c>
      <c r="BO33" s="61">
        <f t="shared" si="22"/>
        <v>0</v>
      </c>
      <c r="BP33" s="92">
        <f t="shared" si="23"/>
        <v>0</v>
      </c>
      <c r="BQ33" s="66">
        <f>IF($L33="TER A",VLOOKUP(BM33,TER!$A$5:$D$48,4,TRUE),IF($L33="TER B",VLOOKUP(BM33,TER!$F$5:$I$44,4,TRUE),IF($L33="TER C",VLOOKUP(BM33,TER!$K$5:$N$45,4,TRUE),0)))</f>
        <v>0</v>
      </c>
      <c r="BR33" s="98">
        <f t="shared" si="24"/>
        <v>0</v>
      </c>
      <c r="BT33" s="118">
        <f>'Data Gaji'!IL33</f>
        <v>0</v>
      </c>
      <c r="BU33" s="66">
        <f>IF($L33="TER A",VLOOKUP(BT33,TER!$A$5:$D$48,4,TRUE),IF($L33="TER B",VLOOKUP(BT33,TER!$F$5:$I$44,4,TRUE),IF($L33="TER C",VLOOKUP(BT33,TER!$K$5:$N$45,4,TRUE),0)))</f>
        <v>0</v>
      </c>
      <c r="BV33" s="61">
        <f t="shared" si="25"/>
        <v>0</v>
      </c>
      <c r="BW33" s="92">
        <f t="shared" si="26"/>
        <v>0</v>
      </c>
      <c r="BX33" s="66">
        <f>IF($L33="TER A",VLOOKUP(BT33,TER!$A$5:$D$48,4,TRUE),IF($L33="TER B",VLOOKUP(BT33,TER!$F$5:$I$44,4,TRUE),IF($L33="TER C",VLOOKUP(BT33,TER!$K$5:$N$45,4,TRUE),0)))</f>
        <v>0</v>
      </c>
      <c r="BY33" s="98">
        <f t="shared" si="27"/>
        <v>0</v>
      </c>
      <c r="CA33" s="118">
        <f>'Data Gaji'!JL33</f>
        <v>0</v>
      </c>
      <c r="CB33" s="66">
        <f>IF($L33="TER A",VLOOKUP(CA33,TER!$A$5:$D$48,4,TRUE),IF($L33="TER B",VLOOKUP(CA33,TER!$F$5:$I$44,4,TRUE),IF($L33="TER C",VLOOKUP(CA33,TER!$K$5:$N$45,4,TRUE),0)))</f>
        <v>0</v>
      </c>
      <c r="CC33" s="61">
        <f t="shared" si="28"/>
        <v>0</v>
      </c>
      <c r="CD33" s="92">
        <f t="shared" si="29"/>
        <v>0</v>
      </c>
      <c r="CE33" s="66">
        <f>IF($L33="TER A",VLOOKUP(CA33,TER!$A$5:$D$48,4,TRUE),IF($L33="TER B",VLOOKUP(CA33,TER!$F$5:$I$44,4,TRUE),IF($L33="TER C",VLOOKUP(CA33,TER!$K$5:$N$45,4,TRUE),0)))</f>
        <v>0</v>
      </c>
      <c r="CF33" s="98">
        <f t="shared" si="30"/>
        <v>0</v>
      </c>
      <c r="CH33" s="118">
        <f>'Data Gaji'!KL33</f>
        <v>0</v>
      </c>
      <c r="CI33" s="66">
        <f>IF($L33="TER A",VLOOKUP(CH33,TER!$A$5:$D$48,4,TRUE),IF($L33="TER B",VLOOKUP(CH33,TER!$F$5:$I$44,4,TRUE),IF($L33="TER C",VLOOKUP(CH33,TER!$K$5:$N$45,4,TRUE),0)))</f>
        <v>0</v>
      </c>
      <c r="CJ33" s="61">
        <f t="shared" si="31"/>
        <v>0</v>
      </c>
      <c r="CK33" s="92">
        <f t="shared" si="32"/>
        <v>0</v>
      </c>
      <c r="CL33" s="66">
        <f>IF($L33="TER A",VLOOKUP(CH33,TER!$A$5:$D$48,4,TRUE),IF($L33="TER B",VLOOKUP(CH33,TER!$F$5:$I$44,4,TRUE),IF($L33="TER C",VLOOKUP(CH33,TER!$K$5:$N$45,4,TRUE),0)))</f>
        <v>0</v>
      </c>
      <c r="CM33" s="98">
        <f t="shared" si="33"/>
        <v>0</v>
      </c>
      <c r="CO33" s="118">
        <f>'Data Gaji'!LL33</f>
        <v>0</v>
      </c>
      <c r="CP33" s="66">
        <f>IF($L33="TER A",VLOOKUP(CO33,TER!$A$5:$D$48,4,TRUE),IF($L33="TER B",VLOOKUP(CO33,TER!$F$5:$I$44,4,TRUE),IF($L33="TER C",VLOOKUP(CO33,TER!$K$5:$N$45,4,TRUE),0)))</f>
        <v>0</v>
      </c>
      <c r="CQ33" s="61">
        <f t="shared" si="34"/>
        <v>0</v>
      </c>
      <c r="CR33" s="92">
        <f t="shared" si="35"/>
        <v>0</v>
      </c>
      <c r="CS33" s="66">
        <f>IF($L33="TER A",VLOOKUP(CO33,TER!$A$5:$D$48,4,TRUE),IF($L33="TER B",VLOOKUP(CO33,TER!$F$5:$I$44,4,TRUE),IF($L33="TER C",VLOOKUP(CO33,TER!$K$5:$N$45,4,TRUE),0)))</f>
        <v>0</v>
      </c>
      <c r="CT33" s="98">
        <f t="shared" si="36"/>
        <v>0</v>
      </c>
    </row>
    <row r="34" spans="1:98" x14ac:dyDescent="0.35">
      <c r="A34" s="52">
        <f t="shared" si="0"/>
        <v>28</v>
      </c>
      <c r="B34" s="69"/>
      <c r="C34" s="285"/>
      <c r="D34" s="71"/>
      <c r="E34" s="272"/>
      <c r="F34" s="56"/>
      <c r="G34" s="278"/>
      <c r="H34" s="286"/>
      <c r="I34" s="54"/>
      <c r="J34" s="59"/>
      <c r="K34" s="272">
        <f>'Data Gaji'!K34</f>
        <v>0</v>
      </c>
      <c r="L34" s="67" t="str">
        <f>IF(ISNA(VLOOKUP(K34,'PTKP &amp; TARIF'!$D$4:$E$11,2,0)),"",VLOOKUP(K34,'PTKP &amp; TARIF'!$D$4:$E$11,2,0))</f>
        <v/>
      </c>
      <c r="M34" s="9"/>
      <c r="N34" s="9"/>
      <c r="O34" s="115" t="s">
        <v>92</v>
      </c>
      <c r="P34" s="118">
        <f>'Data Gaji'!AL34</f>
        <v>0</v>
      </c>
      <c r="Q34" s="66">
        <f>IF($L34="TER A",VLOOKUP(P34,TER!$A$5:$D$48,4,TRUE),IF($L34="TER B",VLOOKUP(P34,TER!$F$5:$I$44,4,TRUE),IF($L34="TER C",VLOOKUP(P34,TER!$K$5:$N$45,4,TRUE),0)))</f>
        <v>0</v>
      </c>
      <c r="R34" s="61">
        <f t="shared" si="1"/>
        <v>0</v>
      </c>
      <c r="S34" s="92">
        <f t="shared" si="2"/>
        <v>0</v>
      </c>
      <c r="T34" s="66">
        <f>IF($L34="TER A",VLOOKUP(P34,TER!$A$5:$D$48,4,TRUE),IF($L34="TER B",VLOOKUP(P34,TER!$F$5:$I$44,4,TRUE),IF($L34="TER C",VLOOKUP(P34,TER!$K$5:$N$45,4,TRUE),0)))</f>
        <v>0</v>
      </c>
      <c r="U34" s="98">
        <f t="shared" si="3"/>
        <v>0</v>
      </c>
      <c r="W34" s="118">
        <f>'Data Gaji'!BL34</f>
        <v>0</v>
      </c>
      <c r="X34" s="66">
        <f>IF($L34="TER A",VLOOKUP(W34,TER!$A$5:$D$48,4,TRUE),IF($L34="TER B",VLOOKUP(W34,TER!$F$5:$I$44,4,TRUE),IF($L34="TER C",VLOOKUP(W34,TER!$K$5:$N$45,4,TRUE),0)))</f>
        <v>0</v>
      </c>
      <c r="Y34" s="61">
        <f t="shared" si="4"/>
        <v>0</v>
      </c>
      <c r="Z34" s="92">
        <f t="shared" si="5"/>
        <v>0</v>
      </c>
      <c r="AA34" s="66">
        <f>IF($L34="TER A",VLOOKUP(W34,TER!$A$5:$D$48,4,TRUE),IF($L34="TER B",VLOOKUP(W34,TER!$F$5:$I$44,4,TRUE),IF($L34="TER C",VLOOKUP(W34,TER!$K$5:$N$45,4,TRUE),0)))</f>
        <v>0</v>
      </c>
      <c r="AB34" s="98">
        <f t="shared" si="6"/>
        <v>0</v>
      </c>
      <c r="AD34" s="118">
        <f>'Data Gaji'!CL34</f>
        <v>0</v>
      </c>
      <c r="AE34" s="66">
        <f>IF($L34="TER A",VLOOKUP(AD34,TER!$A$5:$D$48,4,TRUE),IF($L34="TER B",VLOOKUP(AD34,TER!$F$5:$I$44,4,TRUE),IF($L34="TER C",VLOOKUP(AD34,TER!$K$5:$N$45,4,TRUE),0)))</f>
        <v>0</v>
      </c>
      <c r="AF34" s="61">
        <f t="shared" si="7"/>
        <v>0</v>
      </c>
      <c r="AG34" s="92">
        <f t="shared" si="8"/>
        <v>0</v>
      </c>
      <c r="AH34" s="66">
        <f>IF($L34="TER A",VLOOKUP(AD34,TER!$A$5:$D$48,4,TRUE),IF($L34="TER B",VLOOKUP(AD34,TER!$F$5:$I$44,4,TRUE),IF($L34="TER C",VLOOKUP(AD34,TER!$K$5:$N$45,4,TRUE),0)))</f>
        <v>0</v>
      </c>
      <c r="AI34" s="98">
        <f t="shared" si="9"/>
        <v>0</v>
      </c>
      <c r="AK34" s="118">
        <f>'Data Gaji'!DL34</f>
        <v>0</v>
      </c>
      <c r="AL34" s="66">
        <f>IF($L34="TER A",VLOOKUP(AK34,TER!$A$5:$D$48,4,TRUE),IF($L34="TER B",VLOOKUP(AK34,TER!$F$5:$I$44,4,TRUE),IF($L34="TER C",VLOOKUP(AK34,TER!$K$5:$N$45,4,TRUE),0)))</f>
        <v>0</v>
      </c>
      <c r="AM34" s="61">
        <f t="shared" si="10"/>
        <v>0</v>
      </c>
      <c r="AN34" s="92">
        <f t="shared" si="11"/>
        <v>0</v>
      </c>
      <c r="AO34" s="66">
        <f>IF($L34="TER A",VLOOKUP(AK34,TER!$A$5:$D$48,4,TRUE),IF($L34="TER B",VLOOKUP(AK34,TER!$F$5:$I$44,4,TRUE),IF($L34="TER C",VLOOKUP(AK34,TER!$K$5:$N$45,4,TRUE),0)))</f>
        <v>0</v>
      </c>
      <c r="AP34" s="98">
        <f t="shared" si="12"/>
        <v>0</v>
      </c>
      <c r="AR34" s="118">
        <f>'Data Gaji'!EL34</f>
        <v>0</v>
      </c>
      <c r="AS34" s="66">
        <f>IF($L34="TER A",VLOOKUP(AR34,TER!$A$5:$D$48,4,TRUE),IF($L34="TER B",VLOOKUP(AR34,TER!$F$5:$I$44,4,TRUE),IF($L34="TER C",VLOOKUP(AR34,TER!$K$5:$N$45,4,TRUE),0)))</f>
        <v>0</v>
      </c>
      <c r="AT34" s="61">
        <f t="shared" si="13"/>
        <v>0</v>
      </c>
      <c r="AU34" s="92">
        <f t="shared" si="14"/>
        <v>0</v>
      </c>
      <c r="AV34" s="66">
        <f>IF($L34="TER A",VLOOKUP(AR34,TER!$A$5:$D$48,4,TRUE),IF($L34="TER B",VLOOKUP(AR34,TER!$F$5:$I$44,4,TRUE),IF($L34="TER C",VLOOKUP(AR34,TER!$K$5:$N$45,4,TRUE),0)))</f>
        <v>0</v>
      </c>
      <c r="AW34" s="98">
        <f t="shared" si="15"/>
        <v>0</v>
      </c>
      <c r="AY34" s="118">
        <f>'Data Gaji'!FL34</f>
        <v>0</v>
      </c>
      <c r="AZ34" s="66">
        <f>IF($L34="TER A",VLOOKUP(AY34,TER!$A$5:$D$48,4,TRUE),IF($L34="TER B",VLOOKUP(AY34,TER!$F$5:$I$44,4,TRUE),IF($L34="TER C",VLOOKUP(AY34,TER!$K$5:$N$45,4,TRUE),0)))</f>
        <v>0</v>
      </c>
      <c r="BA34" s="61">
        <f t="shared" si="16"/>
        <v>0</v>
      </c>
      <c r="BB34" s="92">
        <f t="shared" si="17"/>
        <v>0</v>
      </c>
      <c r="BC34" s="66">
        <f>IF($L34="TER A",VLOOKUP(AY34,TER!$A$5:$D$48,4,TRUE),IF($L34="TER B",VLOOKUP(AY34,TER!$F$5:$I$44,4,TRUE),IF($L34="TER C",VLOOKUP(AY34,TER!$K$5:$N$45,4,TRUE),0)))</f>
        <v>0</v>
      </c>
      <c r="BD34" s="98">
        <f t="shared" si="18"/>
        <v>0</v>
      </c>
      <c r="BF34" s="118">
        <f>'Data Gaji'!GL34</f>
        <v>0</v>
      </c>
      <c r="BG34" s="66">
        <f>IF($L34="TER A",VLOOKUP(BF34,TER!$A$5:$D$48,4,TRUE),IF($L34="TER B",VLOOKUP(BF34,TER!$F$5:$I$44,4,TRUE),IF($L34="TER C",VLOOKUP(BF34,TER!$K$5:$N$45,4,TRUE),0)))</f>
        <v>0</v>
      </c>
      <c r="BH34" s="61">
        <f t="shared" si="19"/>
        <v>0</v>
      </c>
      <c r="BI34" s="92">
        <f t="shared" si="20"/>
        <v>0</v>
      </c>
      <c r="BJ34" s="66">
        <f>IF($L34="TER A",VLOOKUP(BF34,TER!$A$5:$D$48,4,TRUE),IF($L34="TER B",VLOOKUP(BF34,TER!$F$5:$I$44,4,TRUE),IF($L34="TER C",VLOOKUP(BF34,TER!$K$5:$N$45,4,TRUE),0)))</f>
        <v>0</v>
      </c>
      <c r="BK34" s="98">
        <f t="shared" si="21"/>
        <v>0</v>
      </c>
      <c r="BM34" s="118">
        <f>'Data Gaji'!HL34</f>
        <v>0</v>
      </c>
      <c r="BN34" s="66">
        <f>IF($L34="TER A",VLOOKUP(BM34,TER!$A$5:$D$48,4,TRUE),IF($L34="TER B",VLOOKUP(BM34,TER!$F$5:$I$44,4,TRUE),IF($L34="TER C",VLOOKUP(BM34,TER!$K$5:$N$45,4,TRUE),0)))</f>
        <v>0</v>
      </c>
      <c r="BO34" s="61">
        <f t="shared" si="22"/>
        <v>0</v>
      </c>
      <c r="BP34" s="92">
        <f t="shared" si="23"/>
        <v>0</v>
      </c>
      <c r="BQ34" s="66">
        <f>IF($L34="TER A",VLOOKUP(BM34,TER!$A$5:$D$48,4,TRUE),IF($L34="TER B",VLOOKUP(BM34,TER!$F$5:$I$44,4,TRUE),IF($L34="TER C",VLOOKUP(BM34,TER!$K$5:$N$45,4,TRUE),0)))</f>
        <v>0</v>
      </c>
      <c r="BR34" s="98">
        <f t="shared" si="24"/>
        <v>0</v>
      </c>
      <c r="BT34" s="118">
        <f>'Data Gaji'!IL34</f>
        <v>0</v>
      </c>
      <c r="BU34" s="66">
        <f>IF($L34="TER A",VLOOKUP(BT34,TER!$A$5:$D$48,4,TRUE),IF($L34="TER B",VLOOKUP(BT34,TER!$F$5:$I$44,4,TRUE),IF($L34="TER C",VLOOKUP(BT34,TER!$K$5:$N$45,4,TRUE),0)))</f>
        <v>0</v>
      </c>
      <c r="BV34" s="61">
        <f t="shared" si="25"/>
        <v>0</v>
      </c>
      <c r="BW34" s="92">
        <f t="shared" si="26"/>
        <v>0</v>
      </c>
      <c r="BX34" s="66">
        <f>IF($L34="TER A",VLOOKUP(BT34,TER!$A$5:$D$48,4,TRUE),IF($L34="TER B",VLOOKUP(BT34,TER!$F$5:$I$44,4,TRUE),IF($L34="TER C",VLOOKUP(BT34,TER!$K$5:$N$45,4,TRUE),0)))</f>
        <v>0</v>
      </c>
      <c r="BY34" s="98">
        <f t="shared" si="27"/>
        <v>0</v>
      </c>
      <c r="CA34" s="118">
        <f>'Data Gaji'!JL34</f>
        <v>0</v>
      </c>
      <c r="CB34" s="66">
        <f>IF($L34="TER A",VLOOKUP(CA34,TER!$A$5:$D$48,4,TRUE),IF($L34="TER B",VLOOKUP(CA34,TER!$F$5:$I$44,4,TRUE),IF($L34="TER C",VLOOKUP(CA34,TER!$K$5:$N$45,4,TRUE),0)))</f>
        <v>0</v>
      </c>
      <c r="CC34" s="61">
        <f t="shared" si="28"/>
        <v>0</v>
      </c>
      <c r="CD34" s="92">
        <f t="shared" si="29"/>
        <v>0</v>
      </c>
      <c r="CE34" s="66">
        <f>IF($L34="TER A",VLOOKUP(CA34,TER!$A$5:$D$48,4,TRUE),IF($L34="TER B",VLOOKUP(CA34,TER!$F$5:$I$44,4,TRUE),IF($L34="TER C",VLOOKUP(CA34,TER!$K$5:$N$45,4,TRUE),0)))</f>
        <v>0</v>
      </c>
      <c r="CF34" s="98">
        <f t="shared" si="30"/>
        <v>0</v>
      </c>
      <c r="CH34" s="118">
        <f>'Data Gaji'!KL34</f>
        <v>0</v>
      </c>
      <c r="CI34" s="66">
        <f>IF($L34="TER A",VLOOKUP(CH34,TER!$A$5:$D$48,4,TRUE),IF($L34="TER B",VLOOKUP(CH34,TER!$F$5:$I$44,4,TRUE),IF($L34="TER C",VLOOKUP(CH34,TER!$K$5:$N$45,4,TRUE),0)))</f>
        <v>0</v>
      </c>
      <c r="CJ34" s="61">
        <f t="shared" si="31"/>
        <v>0</v>
      </c>
      <c r="CK34" s="92">
        <f t="shared" si="32"/>
        <v>0</v>
      </c>
      <c r="CL34" s="66">
        <f>IF($L34="TER A",VLOOKUP(CH34,TER!$A$5:$D$48,4,TRUE),IF($L34="TER B",VLOOKUP(CH34,TER!$F$5:$I$44,4,TRUE),IF($L34="TER C",VLOOKUP(CH34,TER!$K$5:$N$45,4,TRUE),0)))</f>
        <v>0</v>
      </c>
      <c r="CM34" s="98">
        <f t="shared" si="33"/>
        <v>0</v>
      </c>
      <c r="CO34" s="118">
        <f>'Data Gaji'!LL34</f>
        <v>0</v>
      </c>
      <c r="CP34" s="66">
        <f>IF($L34="TER A",VLOOKUP(CO34,TER!$A$5:$D$48,4,TRUE),IF($L34="TER B",VLOOKUP(CO34,TER!$F$5:$I$44,4,TRUE),IF($L34="TER C",VLOOKUP(CO34,TER!$K$5:$N$45,4,TRUE),0)))</f>
        <v>0</v>
      </c>
      <c r="CQ34" s="61">
        <f t="shared" si="34"/>
        <v>0</v>
      </c>
      <c r="CR34" s="92">
        <f t="shared" si="35"/>
        <v>0</v>
      </c>
      <c r="CS34" s="66">
        <f>IF($L34="TER A",VLOOKUP(CO34,TER!$A$5:$D$48,4,TRUE),IF($L34="TER B",VLOOKUP(CO34,TER!$F$5:$I$44,4,TRUE),IF($L34="TER C",VLOOKUP(CO34,TER!$K$5:$N$45,4,TRUE),0)))</f>
        <v>0</v>
      </c>
      <c r="CT34" s="98">
        <f t="shared" si="36"/>
        <v>0</v>
      </c>
    </row>
    <row r="35" spans="1:98" ht="15" thickBot="1" x14ac:dyDescent="0.4">
      <c r="A35" s="52">
        <f t="shared" si="0"/>
        <v>29</v>
      </c>
      <c r="B35" s="69"/>
      <c r="C35" s="285"/>
      <c r="D35" s="71"/>
      <c r="E35" s="281"/>
      <c r="F35" s="56" t="s">
        <v>219</v>
      </c>
      <c r="G35" s="278"/>
      <c r="H35" s="286"/>
      <c r="I35" s="54"/>
      <c r="J35" s="59"/>
      <c r="K35" s="272">
        <f>'Data Gaji'!K35</f>
        <v>0</v>
      </c>
      <c r="L35" s="67" t="str">
        <f>IF(ISNA(VLOOKUP(K35,'PTKP &amp; TARIF'!$D$4:$E$11,2,0)),"",VLOOKUP(K35,'PTKP &amp; TARIF'!$D$4:$E$11,2,0))</f>
        <v/>
      </c>
      <c r="M35" s="9"/>
      <c r="N35" s="9"/>
      <c r="O35" s="115" t="s">
        <v>92</v>
      </c>
      <c r="P35" s="118">
        <f>'Data Gaji'!AL35</f>
        <v>0</v>
      </c>
      <c r="Q35" s="66">
        <f>IF($L35="TER A",VLOOKUP(P35,TER!$A$5:$D$48,4,TRUE),IF($L35="TER B",VLOOKUP(P35,TER!$F$5:$I$44,4,TRUE),IF($L35="TER C",VLOOKUP(P35,TER!$K$5:$N$45,4,TRUE),0)))</f>
        <v>0</v>
      </c>
      <c r="R35" s="61">
        <f t="shared" ref="R35:R44" si="109">IF($O35="Ya",P35*Q35,0)</f>
        <v>0</v>
      </c>
      <c r="S35" s="120">
        <f t="shared" ref="S35:S44" si="110">P35+R35</f>
        <v>0</v>
      </c>
      <c r="T35" s="66">
        <f>IF($L35="TER A",VLOOKUP(P35,TER!$A$5:$D$48,4,TRUE),IF($L35="TER B",VLOOKUP(P35,TER!$F$5:$I$44,4,TRUE),IF($L35="TER C",VLOOKUP(P35,TER!$K$5:$N$45,4,TRUE),0)))</f>
        <v>0</v>
      </c>
      <c r="U35" s="98">
        <f t="shared" ref="U35:U44" si="111">ROUND(S35*T35,0)</f>
        <v>0</v>
      </c>
      <c r="W35" s="118">
        <f>'Data Gaji'!BL35</f>
        <v>0</v>
      </c>
      <c r="X35" s="66">
        <f>IF($L35="TER A",VLOOKUP(W35,TER!$A$5:$D$48,4,TRUE),IF($L35="TER B",VLOOKUP(W35,TER!$F$5:$I$44,4,TRUE),IF($L35="TER C",VLOOKUP(W35,TER!$K$5:$N$45,4,TRUE),0)))</f>
        <v>0</v>
      </c>
      <c r="Y35" s="119">
        <f t="shared" ref="Y35:Y44" si="112">IF($O35="Ya",W35*X35,0)</f>
        <v>0</v>
      </c>
      <c r="Z35" s="120">
        <f t="shared" ref="Z35:Z44" si="113">W35+Y35</f>
        <v>0</v>
      </c>
      <c r="AA35" s="66">
        <f>IF($L35="TER A",VLOOKUP(W35,TER!$A$5:$D$48,4,TRUE),IF($L35="TER B",VLOOKUP(W35,TER!$F$5:$I$44,4,TRUE),IF($L35="TER C",VLOOKUP(W35,TER!$K$5:$N$45,4,TRUE),0)))</f>
        <v>0</v>
      </c>
      <c r="AB35" s="98">
        <f t="shared" ref="AB35:AB44" si="114">ROUND(Z35*AA35,0)</f>
        <v>0</v>
      </c>
      <c r="AD35" s="118">
        <f>'Data Gaji'!CL35</f>
        <v>0</v>
      </c>
      <c r="AE35" s="66">
        <f>IF($L35="TER A",VLOOKUP(AD35,TER!$A$5:$D$48,4,TRUE),IF($L35="TER B",VLOOKUP(AD35,TER!$F$5:$I$44,4,TRUE),IF($L35="TER C",VLOOKUP(AD35,TER!$K$5:$N$45,4,TRUE),0)))</f>
        <v>0</v>
      </c>
      <c r="AF35" s="119">
        <f t="shared" ref="AF35:AF44" si="115">IF($O35="Ya",AD35*AE35,0)</f>
        <v>0</v>
      </c>
      <c r="AG35" s="120">
        <f t="shared" ref="AG35:AG44" si="116">AD35+AF35</f>
        <v>0</v>
      </c>
      <c r="AH35" s="66">
        <f>IF($L35="TER A",VLOOKUP(AD35,TER!$A$5:$D$48,4,TRUE),IF($L35="TER B",VLOOKUP(AD35,TER!$F$5:$I$44,4,TRUE),IF($L35="TER C",VLOOKUP(AD35,TER!$K$5:$N$45,4,TRUE),0)))</f>
        <v>0</v>
      </c>
      <c r="AI35" s="98">
        <f t="shared" ref="AI35:AI44" si="117">ROUND(AG35*AH35,0)</f>
        <v>0</v>
      </c>
      <c r="AK35" s="118">
        <f>'Data Gaji'!DL35</f>
        <v>0</v>
      </c>
      <c r="AL35" s="66">
        <f>IF($L35="TER A",VLOOKUP(AK35,TER!$A$5:$D$48,4,TRUE),IF($L35="TER B",VLOOKUP(AK35,TER!$F$5:$I$44,4,TRUE),IF($L35="TER C",VLOOKUP(AK35,TER!$K$5:$N$45,4,TRUE),0)))</f>
        <v>0</v>
      </c>
      <c r="AM35" s="119">
        <f t="shared" ref="AM35:AM44" si="118">IF($O35="Ya",AK35*AL35,0)</f>
        <v>0</v>
      </c>
      <c r="AN35" s="120">
        <f t="shared" ref="AN35:AN44" si="119">AK35+AM35</f>
        <v>0</v>
      </c>
      <c r="AO35" s="66">
        <f>IF($L35="TER A",VLOOKUP(AK35,TER!$A$5:$D$48,4,TRUE),IF($L35="TER B",VLOOKUP(AK35,TER!$F$5:$I$44,4,TRUE),IF($L35="TER C",VLOOKUP(AK35,TER!$K$5:$N$45,4,TRUE),0)))</f>
        <v>0</v>
      </c>
      <c r="AP35" s="98">
        <f t="shared" ref="AP35:AP44" si="120">ROUND(AN35*AO35,0)</f>
        <v>0</v>
      </c>
      <c r="AR35" s="118">
        <f>'Data Gaji'!EL35</f>
        <v>0</v>
      </c>
      <c r="AS35" s="66">
        <f>IF($L35="TER A",VLOOKUP(AR35,TER!$A$5:$D$48,4,TRUE),IF($L35="TER B",VLOOKUP(AR35,TER!$F$5:$I$44,4,TRUE),IF($L35="TER C",VLOOKUP(AR35,TER!$K$5:$N$45,4,TRUE),0)))</f>
        <v>0</v>
      </c>
      <c r="AT35" s="119">
        <f t="shared" ref="AT35:AT44" si="121">IF($O35="Ya",AR35*AS35,0)</f>
        <v>0</v>
      </c>
      <c r="AU35" s="120">
        <f t="shared" ref="AU35:AU44" si="122">AR35+AT35</f>
        <v>0</v>
      </c>
      <c r="AV35" s="66">
        <f>IF($L35="TER A",VLOOKUP(AR35,TER!$A$5:$D$48,4,TRUE),IF($L35="TER B",VLOOKUP(AR35,TER!$F$5:$I$44,4,TRUE),IF($L35="TER C",VLOOKUP(AR35,TER!$K$5:$N$45,4,TRUE),0)))</f>
        <v>0</v>
      </c>
      <c r="AW35" s="98">
        <f t="shared" ref="AW35:AW44" si="123">ROUND(AU35*AV35,0)</f>
        <v>0</v>
      </c>
      <c r="AY35" s="118">
        <f>'Data Gaji'!FL35</f>
        <v>0</v>
      </c>
      <c r="AZ35" s="66">
        <f>IF($L35="TER A",VLOOKUP(AY35,TER!$A$5:$D$48,4,TRUE),IF($L35="TER B",VLOOKUP(AY35,TER!$F$5:$I$44,4,TRUE),IF($L35="TER C",VLOOKUP(AY35,TER!$K$5:$N$45,4,TRUE),0)))</f>
        <v>0</v>
      </c>
      <c r="BA35" s="119">
        <f t="shared" ref="BA35:BA44" si="124">IF($O35="Ya",AY35*AZ35,0)</f>
        <v>0</v>
      </c>
      <c r="BB35" s="120">
        <f t="shared" ref="BB35:BB44" si="125">AY35+BA35</f>
        <v>0</v>
      </c>
      <c r="BC35" s="66">
        <f>IF($L35="TER A",VLOOKUP(AY35,TER!$A$5:$D$48,4,TRUE),IF($L35="TER B",VLOOKUP(AY35,TER!$F$5:$I$44,4,TRUE),IF($L35="TER C",VLOOKUP(AY35,TER!$K$5:$N$45,4,TRUE),0)))</f>
        <v>0</v>
      </c>
      <c r="BD35" s="98">
        <f t="shared" ref="BD35:BD44" si="126">ROUND(BB35*BC35,0)</f>
        <v>0</v>
      </c>
      <c r="BF35" s="118">
        <f>'Data Gaji'!GL35</f>
        <v>0</v>
      </c>
      <c r="BG35" s="66">
        <f>IF($L35="TER A",VLOOKUP(BF35,TER!$A$5:$D$48,4,TRUE),IF($L35="TER B",VLOOKUP(BF35,TER!$F$5:$I$44,4,TRUE),IF($L35="TER C",VLOOKUP(BF35,TER!$K$5:$N$45,4,TRUE),0)))</f>
        <v>0</v>
      </c>
      <c r="BH35" s="119">
        <f t="shared" ref="BH35:BH44" si="127">IF($O35="Ya",BF35*BG35,0)</f>
        <v>0</v>
      </c>
      <c r="BI35" s="120">
        <f t="shared" ref="BI35:BI44" si="128">BF35+BH35</f>
        <v>0</v>
      </c>
      <c r="BJ35" s="66">
        <f>IF($L35="TER A",VLOOKUP(BF35,TER!$A$5:$D$48,4,TRUE),IF($L35="TER B",VLOOKUP(BF35,TER!$F$5:$I$44,4,TRUE),IF($L35="TER C",VLOOKUP(BF35,TER!$K$5:$N$45,4,TRUE),0)))</f>
        <v>0</v>
      </c>
      <c r="BK35" s="98">
        <f t="shared" ref="BK35:BK44" si="129">ROUND(BI35*BJ35,0)</f>
        <v>0</v>
      </c>
      <c r="BM35" s="118">
        <f>'Data Gaji'!HL35</f>
        <v>0</v>
      </c>
      <c r="BN35" s="66">
        <f>IF($L35="TER A",VLOOKUP(BM35,TER!$A$5:$D$48,4,TRUE),IF($L35="TER B",VLOOKUP(BM35,TER!$F$5:$I$44,4,TRUE),IF($L35="TER C",VLOOKUP(BM35,TER!$K$5:$N$45,4,TRUE),0)))</f>
        <v>0</v>
      </c>
      <c r="BO35" s="119">
        <f t="shared" ref="BO35:BO44" si="130">IF($O35="Ya",BM35*BN35,0)</f>
        <v>0</v>
      </c>
      <c r="BP35" s="120">
        <f t="shared" ref="BP35:BP44" si="131">BM35+BO35</f>
        <v>0</v>
      </c>
      <c r="BQ35" s="66">
        <f>IF($L35="TER A",VLOOKUP(BM35,TER!$A$5:$D$48,4,TRUE),IF($L35="TER B",VLOOKUP(BM35,TER!$F$5:$I$44,4,TRUE),IF($L35="TER C",VLOOKUP(BM35,TER!$K$5:$N$45,4,TRUE),0)))</f>
        <v>0</v>
      </c>
      <c r="BR35" s="98">
        <f t="shared" ref="BR35:BR44" si="132">ROUND(BP35*BQ35,0)</f>
        <v>0</v>
      </c>
      <c r="BT35" s="118">
        <f>'Data Gaji'!IL35</f>
        <v>0</v>
      </c>
      <c r="BU35" s="66">
        <f>IF($L35="TER A",VLOOKUP(BT35,TER!$A$5:$D$48,4,TRUE),IF($L35="TER B",VLOOKUP(BT35,TER!$F$5:$I$44,4,TRUE),IF($L35="TER C",VLOOKUP(BT35,TER!$K$5:$N$45,4,TRUE),0)))</f>
        <v>0</v>
      </c>
      <c r="BV35" s="119">
        <f t="shared" ref="BV35:BV44" si="133">IF($O35="Ya",BT35*BU35,0)</f>
        <v>0</v>
      </c>
      <c r="BW35" s="120">
        <f t="shared" ref="BW35:BW44" si="134">BT35+BV35</f>
        <v>0</v>
      </c>
      <c r="BX35" s="66">
        <f>IF($L35="TER A",VLOOKUP(BT35,TER!$A$5:$D$48,4,TRUE),IF($L35="TER B",VLOOKUP(BT35,TER!$F$5:$I$44,4,TRUE),IF($L35="TER C",VLOOKUP(BT35,TER!$K$5:$N$45,4,TRUE),0)))</f>
        <v>0</v>
      </c>
      <c r="BY35" s="98">
        <f t="shared" ref="BY35:BY44" si="135">ROUND(BW35*BX35,0)</f>
        <v>0</v>
      </c>
      <c r="CA35" s="118">
        <f>'Data Gaji'!JL35</f>
        <v>0</v>
      </c>
      <c r="CB35" s="66">
        <f>IF($L35="TER A",VLOOKUP(CA35,TER!$A$5:$D$48,4,TRUE),IF($L35="TER B",VLOOKUP(CA35,TER!$F$5:$I$44,4,TRUE),IF($L35="TER C",VLOOKUP(CA35,TER!$K$5:$N$45,4,TRUE),0)))</f>
        <v>0</v>
      </c>
      <c r="CC35" s="119">
        <f t="shared" ref="CC35:CC44" si="136">IF($O35="Ya",CA35*CB35,0)</f>
        <v>0</v>
      </c>
      <c r="CD35" s="120">
        <f t="shared" ref="CD35:CD44" si="137">CA35+CC35</f>
        <v>0</v>
      </c>
      <c r="CE35" s="66">
        <f>IF($L35="TER A",VLOOKUP(CA35,TER!$A$5:$D$48,4,TRUE),IF($L35="TER B",VLOOKUP(CA35,TER!$F$5:$I$44,4,TRUE),IF($L35="TER C",VLOOKUP(CA35,TER!$K$5:$N$45,4,TRUE),0)))</f>
        <v>0</v>
      </c>
      <c r="CF35" s="98">
        <f t="shared" ref="CF35:CF44" si="138">ROUND(CD35*CE35,0)</f>
        <v>0</v>
      </c>
      <c r="CH35" s="118">
        <f>'Data Gaji'!KL35</f>
        <v>0</v>
      </c>
      <c r="CI35" s="66">
        <f>IF($L35="TER A",VLOOKUP(CH35,TER!$A$5:$D$48,4,TRUE),IF($L35="TER B",VLOOKUP(CH35,TER!$F$5:$I$44,4,TRUE),IF($L35="TER C",VLOOKUP(CH35,TER!$K$5:$N$45,4,TRUE),0)))</f>
        <v>0</v>
      </c>
      <c r="CJ35" s="119">
        <f t="shared" ref="CJ35:CJ44" si="139">IF($O35="Ya",CH35*CI35,0)</f>
        <v>0</v>
      </c>
      <c r="CK35" s="120">
        <f t="shared" ref="CK35:CK44" si="140">CH35+CJ35</f>
        <v>0</v>
      </c>
      <c r="CL35" s="66">
        <f>IF($L35="TER A",VLOOKUP(CH35,TER!$A$5:$D$48,4,TRUE),IF($L35="TER B",VLOOKUP(CH35,TER!$F$5:$I$44,4,TRUE),IF($L35="TER C",VLOOKUP(CH35,TER!$K$5:$N$45,4,TRUE),0)))</f>
        <v>0</v>
      </c>
      <c r="CM35" s="98">
        <f t="shared" ref="CM35:CM44" si="141">ROUND(CK35*CL35,0)</f>
        <v>0</v>
      </c>
      <c r="CO35" s="118">
        <f>'Data Gaji'!LL34</f>
        <v>0</v>
      </c>
      <c r="CP35" s="66">
        <f>IF($L35="TER A",VLOOKUP(CO35,TER!$A$5:$D$48,4,TRUE),IF($L35="TER B",VLOOKUP(CO35,TER!$F$5:$I$44,4,TRUE),IF($L35="TER C",VLOOKUP(CO35,TER!$K$5:$N$45,4,TRUE),0)))</f>
        <v>0</v>
      </c>
      <c r="CQ35" s="119">
        <f t="shared" ref="CQ35:CQ44" si="142">IF($O35="Ya",CO35*CP35,0)</f>
        <v>0</v>
      </c>
      <c r="CR35" s="120">
        <f t="shared" ref="CR35:CR44" si="143">CO35+CQ35</f>
        <v>0</v>
      </c>
      <c r="CS35" s="66">
        <f>IF($L35="TER A",VLOOKUP(CO35,TER!$A$5:$D$48,4,TRUE),IF($L35="TER B",VLOOKUP(CO35,TER!$F$5:$I$44,4,TRUE),IF($L35="TER C",VLOOKUP(CO35,TER!$K$5:$N$45,4,TRUE),0)))</f>
        <v>0</v>
      </c>
      <c r="CT35" s="98">
        <f t="shared" ref="CT35:CT44" si="144">CR35*CS35</f>
        <v>0</v>
      </c>
    </row>
    <row r="36" spans="1:98" ht="15.5" thickTop="1" thickBot="1" x14ac:dyDescent="0.4">
      <c r="A36" s="52">
        <f t="shared" si="0"/>
        <v>30</v>
      </c>
      <c r="B36" s="69"/>
      <c r="C36" s="70"/>
      <c r="D36" s="55"/>
      <c r="E36" s="55"/>
      <c r="F36" s="56"/>
      <c r="G36" s="278"/>
      <c r="H36" s="58"/>
      <c r="I36" s="54"/>
      <c r="J36" s="59"/>
      <c r="K36" s="272">
        <f>'Data Gaji'!K36</f>
        <v>0</v>
      </c>
      <c r="L36" s="67" t="str">
        <f>IF(ISNA(VLOOKUP(K36,'PTKP &amp; TARIF'!$D$4:$E$11,2,0)),"",VLOOKUP(K36,'PTKP &amp; TARIF'!$D$4:$E$11,2,0))</f>
        <v/>
      </c>
      <c r="M36" s="9"/>
      <c r="N36" s="9"/>
      <c r="O36" s="115" t="s">
        <v>92</v>
      </c>
      <c r="P36" s="118">
        <f>'Data Gaji'!AL38</f>
        <v>0</v>
      </c>
      <c r="Q36" s="66">
        <f>IF($L36="TER A",VLOOKUP(P36,TER!$A$5:$D$48,4,TRUE),IF($L36="TER B",VLOOKUP(P36,TER!$F$5:$I$44,4,TRUE),IF($L36="TER C",VLOOKUP(P36,TER!$K$5:$N$45,4,TRUE),0)))</f>
        <v>0</v>
      </c>
      <c r="R36" s="61">
        <f t="shared" si="109"/>
        <v>0</v>
      </c>
      <c r="S36" s="120">
        <f t="shared" si="110"/>
        <v>0</v>
      </c>
      <c r="T36" s="66">
        <f>IF($L36="TER A",VLOOKUP(P36,TER!$A$5:$D$48,4,TRUE),IF($L36="TER B",VLOOKUP(P36,TER!$F$5:$I$44,4,TRUE),IF($L36="TER C",VLOOKUP(P36,TER!$K$5:$N$45,4,TRUE),0)))</f>
        <v>0</v>
      </c>
      <c r="U36" s="274">
        <f t="shared" si="111"/>
        <v>0</v>
      </c>
      <c r="W36" s="118">
        <f>'Data Gaji'!BL38</f>
        <v>0</v>
      </c>
      <c r="X36" s="66">
        <f>IF($L36="TER A",VLOOKUP(W36,TER!$A$5:$D$48,4,TRUE),IF($L36="TER B",VLOOKUP(W36,TER!$F$5:$I$44,4,TRUE),IF($L36="TER C",VLOOKUP(W36,TER!$K$5:$N$45,4,TRUE),0)))</f>
        <v>0</v>
      </c>
      <c r="Y36" s="119">
        <f t="shared" si="112"/>
        <v>0</v>
      </c>
      <c r="Z36" s="120">
        <f t="shared" si="113"/>
        <v>0</v>
      </c>
      <c r="AA36" s="66">
        <f>IF($L36="TER A",VLOOKUP(W36,TER!$A$5:$D$48,4,TRUE),IF($L36="TER B",VLOOKUP(W36,TER!$F$5:$I$44,4,TRUE),IF($L36="TER C",VLOOKUP(W36,TER!$K$5:$N$45,4,TRUE),0)))</f>
        <v>0</v>
      </c>
      <c r="AB36" s="98">
        <f t="shared" si="114"/>
        <v>0</v>
      </c>
      <c r="AD36" s="118">
        <f>'Data Gaji'!CL35</f>
        <v>0</v>
      </c>
      <c r="AE36" s="66">
        <f>IF($L36="TER A",VLOOKUP(AD36,TER!$A$5:$D$48,4,TRUE),IF($L36="TER B",VLOOKUP(AD36,TER!$F$5:$I$44,4,TRUE),IF($L36="TER C",VLOOKUP(AD36,TER!$K$5:$N$45,4,TRUE),0)))</f>
        <v>0</v>
      </c>
      <c r="AF36" s="119">
        <f t="shared" si="115"/>
        <v>0</v>
      </c>
      <c r="AG36" s="120">
        <f t="shared" si="116"/>
        <v>0</v>
      </c>
      <c r="AH36" s="66">
        <f>IF($L36="TER A",VLOOKUP(AD36,TER!$A$5:$D$48,4,TRUE),IF($L36="TER B",VLOOKUP(AD36,TER!$F$5:$I$44,4,TRUE),IF($L36="TER C",VLOOKUP(AD36,TER!$K$5:$N$45,4,TRUE),0)))</f>
        <v>0</v>
      </c>
      <c r="AI36" s="98">
        <f t="shared" si="117"/>
        <v>0</v>
      </c>
      <c r="AK36" s="118">
        <f>'Data Gaji'!DL36</f>
        <v>0</v>
      </c>
      <c r="AL36" s="66">
        <f>IF($L36="TER A",VLOOKUP(AK36,TER!$A$5:$D$48,4,TRUE),IF($L36="TER B",VLOOKUP(AK36,TER!$F$5:$I$44,4,TRUE),IF($L36="TER C",VLOOKUP(AK36,TER!$K$5:$N$45,4,TRUE),0)))</f>
        <v>0</v>
      </c>
      <c r="AM36" s="119">
        <f t="shared" si="118"/>
        <v>0</v>
      </c>
      <c r="AN36" s="120">
        <f t="shared" si="119"/>
        <v>0</v>
      </c>
      <c r="AO36" s="66">
        <f>IF($L36="TER A",VLOOKUP(AK36,TER!$A$5:$D$48,4,TRUE),IF($L36="TER B",VLOOKUP(AK36,TER!$F$5:$I$44,4,TRUE),IF($L36="TER C",VLOOKUP(AK36,TER!$K$5:$N$45,4,TRUE),0)))</f>
        <v>0</v>
      </c>
      <c r="AP36" s="98">
        <f t="shared" si="120"/>
        <v>0</v>
      </c>
      <c r="AR36" s="118">
        <f>'Data Gaji'!EL36</f>
        <v>0</v>
      </c>
      <c r="AS36" s="66">
        <f>IF($L36="TER A",VLOOKUP(AR36,TER!$A$5:$D$48,4,TRUE),IF($L36="TER B",VLOOKUP(AR36,TER!$F$5:$I$44,4,TRUE),IF($L36="TER C",VLOOKUP(AR36,TER!$K$5:$N$45,4,TRUE),0)))</f>
        <v>0</v>
      </c>
      <c r="AT36" s="119">
        <f t="shared" si="121"/>
        <v>0</v>
      </c>
      <c r="AU36" s="120">
        <f t="shared" si="122"/>
        <v>0</v>
      </c>
      <c r="AV36" s="66">
        <f>IF($L36="TER A",VLOOKUP(AR36,TER!$A$5:$D$48,4,TRUE),IF($L36="TER B",VLOOKUP(AR36,TER!$F$5:$I$44,4,TRUE),IF($L36="TER C",VLOOKUP(AR36,TER!$K$5:$N$45,4,TRUE),0)))</f>
        <v>0</v>
      </c>
      <c r="AW36" s="98">
        <f t="shared" si="123"/>
        <v>0</v>
      </c>
      <c r="AY36" s="118">
        <f>'Data Gaji'!FL36</f>
        <v>0</v>
      </c>
      <c r="AZ36" s="66">
        <f>IF($L36="TER A",VLOOKUP(AY36,TER!$A$5:$D$48,4,TRUE),IF($L36="TER B",VLOOKUP(AY36,TER!$F$5:$I$44,4,TRUE),IF($L36="TER C",VLOOKUP(AY36,TER!$K$5:$N$45,4,TRUE),0)))</f>
        <v>0</v>
      </c>
      <c r="BA36" s="119">
        <f t="shared" si="124"/>
        <v>0</v>
      </c>
      <c r="BB36" s="120">
        <f t="shared" si="125"/>
        <v>0</v>
      </c>
      <c r="BC36" s="66">
        <f>IF($L36="TER A",VLOOKUP(AY36,TER!$A$5:$D$48,4,TRUE),IF($L36="TER B",VLOOKUP(AY36,TER!$F$5:$I$44,4,TRUE),IF($L36="TER C",VLOOKUP(AY36,TER!$K$5:$N$45,4,TRUE),0)))</f>
        <v>0</v>
      </c>
      <c r="BD36" s="98">
        <f t="shared" si="126"/>
        <v>0</v>
      </c>
      <c r="BF36" s="118">
        <f>'Data Gaji'!GL36</f>
        <v>0</v>
      </c>
      <c r="BG36" s="66">
        <f>IF($L36="TER A",VLOOKUP(BF36,TER!$A$5:$D$48,4,TRUE),IF($L36="TER B",VLOOKUP(BF36,TER!$F$5:$I$44,4,TRUE),IF($L36="TER C",VLOOKUP(BF36,TER!$K$5:$N$45,4,TRUE),0)))</f>
        <v>0</v>
      </c>
      <c r="BH36" s="119">
        <f t="shared" si="127"/>
        <v>0</v>
      </c>
      <c r="BI36" s="120">
        <f t="shared" si="128"/>
        <v>0</v>
      </c>
      <c r="BJ36" s="66">
        <f>IF($L36="TER A",VLOOKUP(BF36,TER!$A$5:$D$48,4,TRUE),IF($L36="TER B",VLOOKUP(BF36,TER!$F$5:$I$44,4,TRUE),IF($L36="TER C",VLOOKUP(BF36,TER!$K$5:$N$45,4,TRUE),0)))</f>
        <v>0</v>
      </c>
      <c r="BK36" s="98">
        <f t="shared" si="129"/>
        <v>0</v>
      </c>
      <c r="BM36" s="118">
        <f>'Data Gaji'!HL36</f>
        <v>0</v>
      </c>
      <c r="BN36" s="66">
        <f>IF($L36="TER A",VLOOKUP(BM36,TER!$A$5:$D$48,4,TRUE),IF($L36="TER B",VLOOKUP(BM36,TER!$F$5:$I$44,4,TRUE),IF($L36="TER C",VLOOKUP(BM36,TER!$K$5:$N$45,4,TRUE),0)))</f>
        <v>0</v>
      </c>
      <c r="BO36" s="119">
        <f t="shared" si="130"/>
        <v>0</v>
      </c>
      <c r="BP36" s="120">
        <f t="shared" si="131"/>
        <v>0</v>
      </c>
      <c r="BQ36" s="66">
        <f>IF($L36="TER A",VLOOKUP(BM36,TER!$A$5:$D$48,4,TRUE),IF($L36="TER B",VLOOKUP(BM36,TER!$F$5:$I$44,4,TRUE),IF($L36="TER C",VLOOKUP(BM36,TER!$K$5:$N$45,4,TRUE),0)))</f>
        <v>0</v>
      </c>
      <c r="BR36" s="98">
        <f t="shared" si="132"/>
        <v>0</v>
      </c>
      <c r="BT36" s="118">
        <f>'Data Gaji'!IL36</f>
        <v>0</v>
      </c>
      <c r="BU36" s="66">
        <f>IF($L36="TER A",VLOOKUP(BT36,TER!$A$5:$D$48,4,TRUE),IF($L36="TER B",VLOOKUP(BT36,TER!$F$5:$I$44,4,TRUE),IF($L36="TER C",VLOOKUP(BT36,TER!$K$5:$N$45,4,TRUE),0)))</f>
        <v>0</v>
      </c>
      <c r="BV36" s="119">
        <f t="shared" si="133"/>
        <v>0</v>
      </c>
      <c r="BW36" s="120">
        <f t="shared" si="134"/>
        <v>0</v>
      </c>
      <c r="BX36" s="66">
        <f>IF($L36="TER A",VLOOKUP(BT36,TER!$A$5:$D$48,4,TRUE),IF($L36="TER B",VLOOKUP(BT36,TER!$F$5:$I$44,4,TRUE),IF($L36="TER C",VLOOKUP(BT36,TER!$K$5:$N$45,4,TRUE),0)))</f>
        <v>0</v>
      </c>
      <c r="BY36" s="98">
        <f t="shared" si="135"/>
        <v>0</v>
      </c>
      <c r="CA36" s="118">
        <f>'Data Gaji'!JL36</f>
        <v>0</v>
      </c>
      <c r="CB36" s="66">
        <f>IF($L36="TER A",VLOOKUP(CA36,TER!$A$5:$D$48,4,TRUE),IF($L36="TER B",VLOOKUP(CA36,TER!$F$5:$I$44,4,TRUE),IF($L36="TER C",VLOOKUP(CA36,TER!$K$5:$N$45,4,TRUE),0)))</f>
        <v>0</v>
      </c>
      <c r="CC36" s="119">
        <f t="shared" si="136"/>
        <v>0</v>
      </c>
      <c r="CD36" s="120">
        <f t="shared" si="137"/>
        <v>0</v>
      </c>
      <c r="CE36" s="66">
        <f>IF($L36="TER A",VLOOKUP(CA36,TER!$A$5:$D$48,4,TRUE),IF($L36="TER B",VLOOKUP(CA36,TER!$F$5:$I$44,4,TRUE),IF($L36="TER C",VLOOKUP(CA36,TER!$K$5:$N$45,4,TRUE),0)))</f>
        <v>0</v>
      </c>
      <c r="CF36" s="98">
        <f t="shared" si="138"/>
        <v>0</v>
      </c>
      <c r="CH36" s="118">
        <f>'Data Gaji'!KL36</f>
        <v>0</v>
      </c>
      <c r="CI36" s="66">
        <f>IF($L36="TER A",VLOOKUP(CH36,TER!$A$5:$D$48,4,TRUE),IF($L36="TER B",VLOOKUP(CH36,TER!$F$5:$I$44,4,TRUE),IF($L36="TER C",VLOOKUP(CH36,TER!$K$5:$N$45,4,TRUE),0)))</f>
        <v>0</v>
      </c>
      <c r="CJ36" s="119">
        <f t="shared" si="139"/>
        <v>0</v>
      </c>
      <c r="CK36" s="120">
        <f t="shared" si="140"/>
        <v>0</v>
      </c>
      <c r="CL36" s="66">
        <f>IF($L36="TER A",VLOOKUP(CH36,TER!$A$5:$D$48,4,TRUE),IF($L36="TER B",VLOOKUP(CH36,TER!$F$5:$I$44,4,TRUE),IF($L36="TER C",VLOOKUP(CH36,TER!$K$5:$N$45,4,TRUE),0)))</f>
        <v>0</v>
      </c>
      <c r="CM36" s="98">
        <f t="shared" si="141"/>
        <v>0</v>
      </c>
      <c r="CO36" s="118">
        <f>'Data Gaji'!LL38</f>
        <v>0</v>
      </c>
      <c r="CP36" s="66">
        <f>IF($L36="TER A",VLOOKUP(CO36,TER!$A$5:$D$48,4,TRUE),IF($L36="TER B",VLOOKUP(CO36,TER!$F$5:$I$44,4,TRUE),IF($L36="TER C",VLOOKUP(CO36,TER!$K$5:$N$45,4,TRUE),0)))</f>
        <v>0</v>
      </c>
      <c r="CQ36" s="119">
        <f t="shared" si="142"/>
        <v>0</v>
      </c>
      <c r="CR36" s="120">
        <f t="shared" si="143"/>
        <v>0</v>
      </c>
      <c r="CS36" s="66">
        <f>IF($L36="TER A",VLOOKUP(CO36,TER!$A$5:$D$48,4,TRUE),IF($L36="TER B",VLOOKUP(CO36,TER!$F$5:$I$44,4,TRUE),IF($L36="TER C",VLOOKUP(CO36,TER!$K$5:$N$45,4,TRUE),0)))</f>
        <v>0</v>
      </c>
      <c r="CT36" s="98">
        <f t="shared" si="144"/>
        <v>0</v>
      </c>
    </row>
    <row r="37" spans="1:98" ht="15.5" thickTop="1" thickBot="1" x14ac:dyDescent="0.4">
      <c r="A37" s="52">
        <f t="shared" si="0"/>
        <v>31</v>
      </c>
      <c r="B37" s="69"/>
      <c r="C37" s="70"/>
      <c r="D37" s="55"/>
      <c r="E37" s="55"/>
      <c r="F37" s="56"/>
      <c r="G37" s="278"/>
      <c r="H37" s="58"/>
      <c r="I37" s="54"/>
      <c r="J37" s="59"/>
      <c r="K37" s="272">
        <f>'Data Gaji'!K37</f>
        <v>0</v>
      </c>
      <c r="L37" s="67" t="str">
        <f>IF(ISNA(VLOOKUP(K37,'PTKP &amp; TARIF'!$D$4:$E$11,2,0)),"",VLOOKUP(K37,'PTKP &amp; TARIF'!$D$4:$E$11,2,0))</f>
        <v/>
      </c>
      <c r="M37" s="9"/>
      <c r="N37" s="9"/>
      <c r="O37" s="115" t="s">
        <v>92</v>
      </c>
      <c r="P37" s="118">
        <f>'Data Gaji'!AL39</f>
        <v>0</v>
      </c>
      <c r="Q37" s="66">
        <f>IF($L37="TER A",VLOOKUP(P37,TER!$A$5:$D$48,4,TRUE),IF($L37="TER B",VLOOKUP(P37,TER!$F$5:$I$44,4,TRUE),IF($L37="TER C",VLOOKUP(P37,TER!$K$5:$N$45,4,TRUE),0)))</f>
        <v>0</v>
      </c>
      <c r="R37" s="61">
        <f t="shared" si="109"/>
        <v>0</v>
      </c>
      <c r="S37" s="120">
        <f t="shared" si="110"/>
        <v>0</v>
      </c>
      <c r="T37" s="66">
        <f>IF($L37="TER A",VLOOKUP(P37,TER!$A$5:$D$48,4,TRUE),IF($L37="TER B",VLOOKUP(P37,TER!$F$5:$I$44,4,TRUE),IF($L37="TER C",VLOOKUP(P37,TER!$K$5:$N$45,4,TRUE),0)))</f>
        <v>0</v>
      </c>
      <c r="U37" s="274">
        <f t="shared" si="111"/>
        <v>0</v>
      </c>
      <c r="W37" s="118">
        <f>'Data Gaji'!BL39</f>
        <v>0</v>
      </c>
      <c r="X37" s="66">
        <f>IF($L37="TER A",VLOOKUP(W37,TER!$A$5:$D$48,4,TRUE),IF($L37="TER B",VLOOKUP(W37,TER!$F$5:$I$44,4,TRUE),IF($L37="TER C",VLOOKUP(W37,TER!$K$5:$N$45,4,TRUE),0)))</f>
        <v>0</v>
      </c>
      <c r="Y37" s="119">
        <f t="shared" si="112"/>
        <v>0</v>
      </c>
      <c r="Z37" s="120">
        <f t="shared" si="113"/>
        <v>0</v>
      </c>
      <c r="AA37" s="66">
        <f>IF($L37="TER A",VLOOKUP(W37,TER!$A$5:$D$48,4,TRUE),IF($L37="TER B",VLOOKUP(W37,TER!$F$5:$I$44,4,TRUE),IF($L37="TER C",VLOOKUP(W37,TER!$K$5:$N$45,4,TRUE),0)))</f>
        <v>0</v>
      </c>
      <c r="AB37" s="98">
        <f t="shared" si="114"/>
        <v>0</v>
      </c>
      <c r="AD37" s="118">
        <f>'Data Gaji'!CL36</f>
        <v>0</v>
      </c>
      <c r="AE37" s="66">
        <f>IF($L37="TER A",VLOOKUP(AD37,TER!$A$5:$D$48,4,TRUE),IF($L37="TER B",VLOOKUP(AD37,TER!$F$5:$I$44,4,TRUE),IF($L37="TER C",VLOOKUP(AD37,TER!$K$5:$N$45,4,TRUE),0)))</f>
        <v>0</v>
      </c>
      <c r="AF37" s="119">
        <f t="shared" si="115"/>
        <v>0</v>
      </c>
      <c r="AG37" s="120">
        <f t="shared" si="116"/>
        <v>0</v>
      </c>
      <c r="AH37" s="66">
        <f>IF($L37="TER A",VLOOKUP(AD37,TER!$A$5:$D$48,4,TRUE),IF($L37="TER B",VLOOKUP(AD37,TER!$F$5:$I$44,4,TRUE),IF($L37="TER C",VLOOKUP(AD37,TER!$K$5:$N$45,4,TRUE),0)))</f>
        <v>0</v>
      </c>
      <c r="AI37" s="98">
        <f t="shared" si="117"/>
        <v>0</v>
      </c>
      <c r="AK37" s="118">
        <f>'Data Gaji'!DL37</f>
        <v>0</v>
      </c>
      <c r="AL37" s="66">
        <f>IF($L37="TER A",VLOOKUP(AK37,TER!$A$5:$D$48,4,TRUE),IF($L37="TER B",VLOOKUP(AK37,TER!$F$5:$I$44,4,TRUE),IF($L37="TER C",VLOOKUP(AK37,TER!$K$5:$N$45,4,TRUE),0)))</f>
        <v>0</v>
      </c>
      <c r="AM37" s="119">
        <f t="shared" si="118"/>
        <v>0</v>
      </c>
      <c r="AN37" s="120">
        <f t="shared" si="119"/>
        <v>0</v>
      </c>
      <c r="AO37" s="66">
        <f>IF($L37="TER A",VLOOKUP(AK37,TER!$A$5:$D$48,4,TRUE),IF($L37="TER B",VLOOKUP(AK37,TER!$F$5:$I$44,4,TRUE),IF($L37="TER C",VLOOKUP(AK37,TER!$K$5:$N$45,4,TRUE),0)))</f>
        <v>0</v>
      </c>
      <c r="AP37" s="98">
        <f t="shared" si="120"/>
        <v>0</v>
      </c>
      <c r="AR37" s="118">
        <f>'Data Gaji'!EL37</f>
        <v>0</v>
      </c>
      <c r="AS37" s="66">
        <f>IF($L37="TER A",VLOOKUP(AR37,TER!$A$5:$D$48,4,TRUE),IF($L37="TER B",VLOOKUP(AR37,TER!$F$5:$I$44,4,TRUE),IF($L37="TER C",VLOOKUP(AR37,TER!$K$5:$N$45,4,TRUE),0)))</f>
        <v>0</v>
      </c>
      <c r="AT37" s="119">
        <f t="shared" si="121"/>
        <v>0</v>
      </c>
      <c r="AU37" s="120">
        <f t="shared" si="122"/>
        <v>0</v>
      </c>
      <c r="AV37" s="66">
        <f>IF($L37="TER A",VLOOKUP(AR37,TER!$A$5:$D$48,4,TRUE),IF($L37="TER B",VLOOKUP(AR37,TER!$F$5:$I$44,4,TRUE),IF($L37="TER C",VLOOKUP(AR37,TER!$K$5:$N$45,4,TRUE),0)))</f>
        <v>0</v>
      </c>
      <c r="AW37" s="98">
        <f t="shared" si="123"/>
        <v>0</v>
      </c>
      <c r="AY37" s="118">
        <f>'Data Gaji'!FL37</f>
        <v>0</v>
      </c>
      <c r="AZ37" s="66">
        <f>IF($L37="TER A",VLOOKUP(AY37,TER!$A$5:$D$48,4,TRUE),IF($L37="TER B",VLOOKUP(AY37,TER!$F$5:$I$44,4,TRUE),IF($L37="TER C",VLOOKUP(AY37,TER!$K$5:$N$45,4,TRUE),0)))</f>
        <v>0</v>
      </c>
      <c r="BA37" s="119">
        <f t="shared" si="124"/>
        <v>0</v>
      </c>
      <c r="BB37" s="120">
        <f t="shared" si="125"/>
        <v>0</v>
      </c>
      <c r="BC37" s="66">
        <f>IF($L37="TER A",VLOOKUP(AY37,TER!$A$5:$D$48,4,TRUE),IF($L37="TER B",VLOOKUP(AY37,TER!$F$5:$I$44,4,TRUE),IF($L37="TER C",VLOOKUP(AY37,TER!$K$5:$N$45,4,TRUE),0)))</f>
        <v>0</v>
      </c>
      <c r="BD37" s="98">
        <f t="shared" si="126"/>
        <v>0</v>
      </c>
      <c r="BF37" s="118">
        <f>'Data Gaji'!GL37</f>
        <v>0</v>
      </c>
      <c r="BG37" s="66">
        <f>IF($L37="TER A",VLOOKUP(BF37,TER!$A$5:$D$48,4,TRUE),IF($L37="TER B",VLOOKUP(BF37,TER!$F$5:$I$44,4,TRUE),IF($L37="TER C",VLOOKUP(BF37,TER!$K$5:$N$45,4,TRUE),0)))</f>
        <v>0</v>
      </c>
      <c r="BH37" s="119">
        <f t="shared" si="127"/>
        <v>0</v>
      </c>
      <c r="BI37" s="120">
        <f t="shared" si="128"/>
        <v>0</v>
      </c>
      <c r="BJ37" s="66">
        <f>IF($L37="TER A",VLOOKUP(BF37,TER!$A$5:$D$48,4,TRUE),IF($L37="TER B",VLOOKUP(BF37,TER!$F$5:$I$44,4,TRUE),IF($L37="TER C",VLOOKUP(BF37,TER!$K$5:$N$45,4,TRUE),0)))</f>
        <v>0</v>
      </c>
      <c r="BK37" s="98">
        <f t="shared" si="129"/>
        <v>0</v>
      </c>
      <c r="BM37" s="118">
        <f>'Data Gaji'!HL37</f>
        <v>0</v>
      </c>
      <c r="BN37" s="66">
        <f>IF($L37="TER A",VLOOKUP(BM37,TER!$A$5:$D$48,4,TRUE),IF($L37="TER B",VLOOKUP(BM37,TER!$F$5:$I$44,4,TRUE),IF($L37="TER C",VLOOKUP(BM37,TER!$K$5:$N$45,4,TRUE),0)))</f>
        <v>0</v>
      </c>
      <c r="BO37" s="119">
        <f t="shared" si="130"/>
        <v>0</v>
      </c>
      <c r="BP37" s="120">
        <f t="shared" si="131"/>
        <v>0</v>
      </c>
      <c r="BQ37" s="66">
        <f>IF($L37="TER A",VLOOKUP(BM37,TER!$A$5:$D$48,4,TRUE),IF($L37="TER B",VLOOKUP(BM37,TER!$F$5:$I$44,4,TRUE),IF($L37="TER C",VLOOKUP(BM37,TER!$K$5:$N$45,4,TRUE),0)))</f>
        <v>0</v>
      </c>
      <c r="BR37" s="98">
        <f t="shared" si="132"/>
        <v>0</v>
      </c>
      <c r="BT37" s="118">
        <f>'Data Gaji'!IL37</f>
        <v>0</v>
      </c>
      <c r="BU37" s="66">
        <f>IF($L37="TER A",VLOOKUP(BT37,TER!$A$5:$D$48,4,TRUE),IF($L37="TER B",VLOOKUP(BT37,TER!$F$5:$I$44,4,TRUE),IF($L37="TER C",VLOOKUP(BT37,TER!$K$5:$N$45,4,TRUE),0)))</f>
        <v>0</v>
      </c>
      <c r="BV37" s="119">
        <f t="shared" si="133"/>
        <v>0</v>
      </c>
      <c r="BW37" s="120">
        <f t="shared" si="134"/>
        <v>0</v>
      </c>
      <c r="BX37" s="66">
        <f>IF($L37="TER A",VLOOKUP(BT37,TER!$A$5:$D$48,4,TRUE),IF($L37="TER B",VLOOKUP(BT37,TER!$F$5:$I$44,4,TRUE),IF($L37="TER C",VLOOKUP(BT37,TER!$K$5:$N$45,4,TRUE),0)))</f>
        <v>0</v>
      </c>
      <c r="BY37" s="98">
        <f t="shared" si="135"/>
        <v>0</v>
      </c>
      <c r="CA37" s="118">
        <f>'Data Gaji'!JL37</f>
        <v>0</v>
      </c>
      <c r="CB37" s="66">
        <f>IF($L37="TER A",VLOOKUP(CA37,TER!$A$5:$D$48,4,TRUE),IF($L37="TER B",VLOOKUP(CA37,TER!$F$5:$I$44,4,TRUE),IF($L37="TER C",VLOOKUP(CA37,TER!$K$5:$N$45,4,TRUE),0)))</f>
        <v>0</v>
      </c>
      <c r="CC37" s="119">
        <f t="shared" si="136"/>
        <v>0</v>
      </c>
      <c r="CD37" s="120">
        <f t="shared" si="137"/>
        <v>0</v>
      </c>
      <c r="CE37" s="66">
        <f>IF($L37="TER A",VLOOKUP(CA37,TER!$A$5:$D$48,4,TRUE),IF($L37="TER B",VLOOKUP(CA37,TER!$F$5:$I$44,4,TRUE),IF($L37="TER C",VLOOKUP(CA37,TER!$K$5:$N$45,4,TRUE),0)))</f>
        <v>0</v>
      </c>
      <c r="CF37" s="98">
        <f t="shared" si="138"/>
        <v>0</v>
      </c>
      <c r="CH37" s="118">
        <f>'Data Gaji'!KL37</f>
        <v>0</v>
      </c>
      <c r="CI37" s="66">
        <f>IF($L37="TER A",VLOOKUP(CH37,TER!$A$5:$D$48,4,TRUE),IF($L37="TER B",VLOOKUP(CH37,TER!$F$5:$I$44,4,TRUE),IF($L37="TER C",VLOOKUP(CH37,TER!$K$5:$N$45,4,TRUE),0)))</f>
        <v>0</v>
      </c>
      <c r="CJ37" s="119">
        <f t="shared" si="139"/>
        <v>0</v>
      </c>
      <c r="CK37" s="120">
        <f t="shared" si="140"/>
        <v>0</v>
      </c>
      <c r="CL37" s="66">
        <f>IF($L37="TER A",VLOOKUP(CH37,TER!$A$5:$D$48,4,TRUE),IF($L37="TER B",VLOOKUP(CH37,TER!$F$5:$I$44,4,TRUE),IF($L37="TER C",VLOOKUP(CH37,TER!$K$5:$N$45,4,TRUE),0)))</f>
        <v>0</v>
      </c>
      <c r="CM37" s="98">
        <f t="shared" si="141"/>
        <v>0</v>
      </c>
      <c r="CO37" s="118">
        <f>'Data Gaji'!LL39</f>
        <v>0</v>
      </c>
      <c r="CP37" s="66">
        <f>IF($L37="TER A",VLOOKUP(CO37,TER!$A$5:$D$48,4,TRUE),IF($L37="TER B",VLOOKUP(CO37,TER!$F$5:$I$44,4,TRUE),IF($L37="TER C",VLOOKUP(CO37,TER!$K$5:$N$45,4,TRUE),0)))</f>
        <v>0</v>
      </c>
      <c r="CQ37" s="119">
        <f t="shared" si="142"/>
        <v>0</v>
      </c>
      <c r="CR37" s="120">
        <f t="shared" si="143"/>
        <v>0</v>
      </c>
      <c r="CS37" s="66">
        <f>IF($L37="TER A",VLOOKUP(CO37,TER!$A$5:$D$48,4,TRUE),IF($L37="TER B",VLOOKUP(CO37,TER!$F$5:$I$44,4,TRUE),IF($L37="TER C",VLOOKUP(CO37,TER!$K$5:$N$45,4,TRUE),0)))</f>
        <v>0</v>
      </c>
      <c r="CT37" s="98">
        <f t="shared" si="144"/>
        <v>0</v>
      </c>
    </row>
    <row r="38" spans="1:98" ht="15.5" thickTop="1" thickBot="1" x14ac:dyDescent="0.4">
      <c r="A38" s="52">
        <f t="shared" si="0"/>
        <v>32</v>
      </c>
      <c r="B38" s="69"/>
      <c r="C38" s="70"/>
      <c r="D38" s="55"/>
      <c r="E38" s="55"/>
      <c r="F38" s="56"/>
      <c r="G38" s="278"/>
      <c r="H38" s="58"/>
      <c r="I38" s="54"/>
      <c r="J38" s="59"/>
      <c r="K38" s="272">
        <f>'Data Gaji'!K38</f>
        <v>0</v>
      </c>
      <c r="L38" s="67" t="str">
        <f>IF(ISNA(VLOOKUP(K38,'PTKP &amp; TARIF'!$D$4:$E$11,2,0)),"",VLOOKUP(K38,'PTKP &amp; TARIF'!$D$4:$E$11,2,0))</f>
        <v/>
      </c>
      <c r="M38" s="9"/>
      <c r="N38" s="9"/>
      <c r="O38" s="115" t="s">
        <v>92</v>
      </c>
      <c r="P38" s="118">
        <f>'Data Gaji'!AL40</f>
        <v>0</v>
      </c>
      <c r="Q38" s="66">
        <f>IF($L38="TER A",VLOOKUP(P38,TER!$A$5:$D$48,4,TRUE),IF($L38="TER B",VLOOKUP(P38,TER!$F$5:$I$44,4,TRUE),IF($L38="TER C",VLOOKUP(P38,TER!$K$5:$N$45,4,TRUE),0)))</f>
        <v>0</v>
      </c>
      <c r="R38" s="61">
        <f t="shared" ref="R38:R39" si="145">IF($O38="Ya",P38*Q38,0)</f>
        <v>0</v>
      </c>
      <c r="S38" s="120">
        <f t="shared" ref="S38:S39" si="146">P38+R38</f>
        <v>0</v>
      </c>
      <c r="T38" s="66">
        <f>IF($L38="TER A",VLOOKUP(P38,TER!$A$5:$D$48,4,TRUE),IF($L38="TER B",VLOOKUP(P38,TER!$F$5:$I$44,4,TRUE),IF($L38="TER C",VLOOKUP(P38,TER!$K$5:$N$45,4,TRUE),0)))</f>
        <v>0</v>
      </c>
      <c r="U38" s="274">
        <f t="shared" ref="U38:U39" si="147">ROUND(S38*T38,0)</f>
        <v>0</v>
      </c>
      <c r="W38" s="118">
        <f>'Data Gaji'!BL40</f>
        <v>0</v>
      </c>
      <c r="X38" s="66">
        <f>IF($L38="TER A",VLOOKUP(W38,TER!$A$5:$D$48,4,TRUE),IF($L38="TER B",VLOOKUP(W38,TER!$F$5:$I$44,4,TRUE),IF($L38="TER C",VLOOKUP(W38,TER!$K$5:$N$45,4,TRUE),0)))</f>
        <v>0</v>
      </c>
      <c r="Y38" s="119">
        <f t="shared" ref="Y38:Y39" si="148">IF($O38="Ya",W38*X38,0)</f>
        <v>0</v>
      </c>
      <c r="Z38" s="120">
        <f t="shared" ref="Z38:Z39" si="149">W38+Y38</f>
        <v>0</v>
      </c>
      <c r="AA38" s="66">
        <f>IF($L38="TER A",VLOOKUP(W38,TER!$A$5:$D$48,4,TRUE),IF($L38="TER B",VLOOKUP(W38,TER!$F$5:$I$44,4,TRUE),IF($L38="TER C",VLOOKUP(W38,TER!$K$5:$N$45,4,TRUE),0)))</f>
        <v>0</v>
      </c>
      <c r="AB38" s="98">
        <f t="shared" ref="AB38:AB39" si="150">ROUND(Z38*AA38,0)</f>
        <v>0</v>
      </c>
      <c r="AD38" s="118">
        <f>'Data Gaji'!CL37</f>
        <v>0</v>
      </c>
      <c r="AE38" s="66">
        <f>IF($L38="TER A",VLOOKUP(AD38,TER!$A$5:$D$48,4,TRUE),IF($L38="TER B",VLOOKUP(AD38,TER!$F$5:$I$44,4,TRUE),IF($L38="TER C",VLOOKUP(AD38,TER!$K$5:$N$45,4,TRUE),0)))</f>
        <v>0</v>
      </c>
      <c r="AF38" s="119">
        <f t="shared" ref="AF38:AF39" si="151">IF($O38="Ya",AD38*AE38,0)</f>
        <v>0</v>
      </c>
      <c r="AG38" s="120">
        <f t="shared" ref="AG38:AG39" si="152">AD38+AF38</f>
        <v>0</v>
      </c>
      <c r="AH38" s="66">
        <f>IF($L38="TER A",VLOOKUP(AD38,TER!$A$5:$D$48,4,TRUE),IF($L38="TER B",VLOOKUP(AD38,TER!$F$5:$I$44,4,TRUE),IF($L38="TER C",VLOOKUP(AD38,TER!$K$5:$N$45,4,TRUE),0)))</f>
        <v>0</v>
      </c>
      <c r="AI38" s="98">
        <f t="shared" ref="AI38:AI39" si="153">ROUND(AG38*AH38,0)</f>
        <v>0</v>
      </c>
      <c r="AK38" s="118">
        <f>'Data Gaji'!DL38</f>
        <v>0</v>
      </c>
      <c r="AL38" s="66">
        <f>IF($L38="TER A",VLOOKUP(AK38,TER!$A$5:$D$48,4,TRUE),IF($L38="TER B",VLOOKUP(AK38,TER!$F$5:$I$44,4,TRUE),IF($L38="TER C",VLOOKUP(AK38,TER!$K$5:$N$45,4,TRUE),0)))</f>
        <v>0</v>
      </c>
      <c r="AM38" s="119">
        <f t="shared" ref="AM38:AM39" si="154">IF($O38="Ya",AK38*AL38,0)</f>
        <v>0</v>
      </c>
      <c r="AN38" s="120">
        <f t="shared" ref="AN38:AN39" si="155">AK38+AM38</f>
        <v>0</v>
      </c>
      <c r="AO38" s="66">
        <f>IF($L38="TER A",VLOOKUP(AK38,TER!$A$5:$D$48,4,TRUE),IF($L38="TER B",VLOOKUP(AK38,TER!$F$5:$I$44,4,TRUE),IF($L38="TER C",VLOOKUP(AK38,TER!$K$5:$N$45,4,TRUE),0)))</f>
        <v>0</v>
      </c>
      <c r="AP38" s="98">
        <f t="shared" ref="AP38:AP39" si="156">ROUND(AN38*AO38,0)</f>
        <v>0</v>
      </c>
      <c r="AR38" s="118">
        <f>'Data Gaji'!EL38</f>
        <v>0</v>
      </c>
      <c r="AS38" s="66">
        <f>IF($L38="TER A",VLOOKUP(AR38,TER!$A$5:$D$48,4,TRUE),IF($L38="TER B",VLOOKUP(AR38,TER!$F$5:$I$44,4,TRUE),IF($L38="TER C",VLOOKUP(AR38,TER!$K$5:$N$45,4,TRUE),0)))</f>
        <v>0</v>
      </c>
      <c r="AT38" s="119">
        <f t="shared" ref="AT38:AT39" si="157">IF($O38="Ya",AR38*AS38,0)</f>
        <v>0</v>
      </c>
      <c r="AU38" s="120">
        <f t="shared" ref="AU38:AU39" si="158">AR38+AT38</f>
        <v>0</v>
      </c>
      <c r="AV38" s="66">
        <f>IF($L38="TER A",VLOOKUP(AR38,TER!$A$5:$D$48,4,TRUE),IF($L38="TER B",VLOOKUP(AR38,TER!$F$5:$I$44,4,TRUE),IF($L38="TER C",VLOOKUP(AR38,TER!$K$5:$N$45,4,TRUE),0)))</f>
        <v>0</v>
      </c>
      <c r="AW38" s="98">
        <f t="shared" ref="AW38:AW39" si="159">ROUND(AU38*AV38,0)</f>
        <v>0</v>
      </c>
      <c r="AY38" s="118">
        <f>'Data Gaji'!FL38</f>
        <v>0</v>
      </c>
      <c r="AZ38" s="66">
        <f>IF($L38="TER A",VLOOKUP(AY38,TER!$A$5:$D$48,4,TRUE),IF($L38="TER B",VLOOKUP(AY38,TER!$F$5:$I$44,4,TRUE),IF($L38="TER C",VLOOKUP(AY38,TER!$K$5:$N$45,4,TRUE),0)))</f>
        <v>0</v>
      </c>
      <c r="BA38" s="119">
        <f t="shared" ref="BA38:BA39" si="160">IF($O38="Ya",AY38*AZ38,0)</f>
        <v>0</v>
      </c>
      <c r="BB38" s="120">
        <f t="shared" ref="BB38:BB39" si="161">AY38+BA38</f>
        <v>0</v>
      </c>
      <c r="BC38" s="66">
        <f>IF($L38="TER A",VLOOKUP(AY38,TER!$A$5:$D$48,4,TRUE),IF($L38="TER B",VLOOKUP(AY38,TER!$F$5:$I$44,4,TRUE),IF($L38="TER C",VLOOKUP(AY38,TER!$K$5:$N$45,4,TRUE),0)))</f>
        <v>0</v>
      </c>
      <c r="BD38" s="98">
        <f t="shared" ref="BD38:BD39" si="162">ROUND(BB38*BC38,0)</f>
        <v>0</v>
      </c>
      <c r="BF38" s="118">
        <f>'Data Gaji'!GL38</f>
        <v>0</v>
      </c>
      <c r="BG38" s="66">
        <f>IF($L38="TER A",VLOOKUP(BF38,TER!$A$5:$D$48,4,TRUE),IF($L38="TER B",VLOOKUP(BF38,TER!$F$5:$I$44,4,TRUE),IF($L38="TER C",VLOOKUP(BF38,TER!$K$5:$N$45,4,TRUE),0)))</f>
        <v>0</v>
      </c>
      <c r="BH38" s="119">
        <f t="shared" ref="BH38:BH39" si="163">IF($O38="Ya",BF38*BG38,0)</f>
        <v>0</v>
      </c>
      <c r="BI38" s="120">
        <f t="shared" ref="BI38:BI39" si="164">BF38+BH38</f>
        <v>0</v>
      </c>
      <c r="BJ38" s="66">
        <f>IF($L38="TER A",VLOOKUP(BF38,TER!$A$5:$D$48,4,TRUE),IF($L38="TER B",VLOOKUP(BF38,TER!$F$5:$I$44,4,TRUE),IF($L38="TER C",VLOOKUP(BF38,TER!$K$5:$N$45,4,TRUE),0)))</f>
        <v>0</v>
      </c>
      <c r="BK38" s="98">
        <f t="shared" ref="BK38:BK39" si="165">ROUND(BI38*BJ38,0)</f>
        <v>0</v>
      </c>
      <c r="BM38" s="118">
        <f>'Data Gaji'!HL38</f>
        <v>0</v>
      </c>
      <c r="BN38" s="66">
        <f>IF($L38="TER A",VLOOKUP(BM38,TER!$A$5:$D$48,4,TRUE),IF($L38="TER B",VLOOKUP(BM38,TER!$F$5:$I$44,4,TRUE),IF($L38="TER C",VLOOKUP(BM38,TER!$K$5:$N$45,4,TRUE),0)))</f>
        <v>0</v>
      </c>
      <c r="BO38" s="119">
        <f t="shared" ref="BO38:BO39" si="166">IF($O38="Ya",BM38*BN38,0)</f>
        <v>0</v>
      </c>
      <c r="BP38" s="120">
        <f t="shared" ref="BP38:BP39" si="167">BM38+BO38</f>
        <v>0</v>
      </c>
      <c r="BQ38" s="66">
        <f>IF($L38="TER A",VLOOKUP(BM38,TER!$A$5:$D$48,4,TRUE),IF($L38="TER B",VLOOKUP(BM38,TER!$F$5:$I$44,4,TRUE),IF($L38="TER C",VLOOKUP(BM38,TER!$K$5:$N$45,4,TRUE),0)))</f>
        <v>0</v>
      </c>
      <c r="BR38" s="98">
        <f t="shared" ref="BR38:BR39" si="168">ROUND(BP38*BQ38,0)</f>
        <v>0</v>
      </c>
      <c r="BT38" s="118">
        <f>'Data Gaji'!IL38</f>
        <v>0</v>
      </c>
      <c r="BU38" s="66">
        <f>IF($L38="TER A",VLOOKUP(BT38,TER!$A$5:$D$48,4,TRUE),IF($L38="TER B",VLOOKUP(BT38,TER!$F$5:$I$44,4,TRUE),IF($L38="TER C",VLOOKUP(BT38,TER!$K$5:$N$45,4,TRUE),0)))</f>
        <v>0</v>
      </c>
      <c r="BV38" s="119">
        <f t="shared" ref="BV38:BV39" si="169">IF($O38="Ya",BT38*BU38,0)</f>
        <v>0</v>
      </c>
      <c r="BW38" s="120">
        <f t="shared" ref="BW38:BW39" si="170">BT38+BV38</f>
        <v>0</v>
      </c>
      <c r="BX38" s="66">
        <f>IF($L38="TER A",VLOOKUP(BT38,TER!$A$5:$D$48,4,TRUE),IF($L38="TER B",VLOOKUP(BT38,TER!$F$5:$I$44,4,TRUE),IF($L38="TER C",VLOOKUP(BT38,TER!$K$5:$N$45,4,TRUE),0)))</f>
        <v>0</v>
      </c>
      <c r="BY38" s="98">
        <f t="shared" ref="BY38:BY39" si="171">ROUND(BW38*BX38,0)</f>
        <v>0</v>
      </c>
      <c r="CA38" s="118">
        <f>'Data Gaji'!JL38</f>
        <v>0</v>
      </c>
      <c r="CB38" s="66">
        <f>IF($L38="TER A",VLOOKUP(CA38,TER!$A$5:$D$48,4,TRUE),IF($L38="TER B",VLOOKUP(CA38,TER!$F$5:$I$44,4,TRUE),IF($L38="TER C",VLOOKUP(CA38,TER!$K$5:$N$45,4,TRUE),0)))</f>
        <v>0</v>
      </c>
      <c r="CC38" s="119">
        <f t="shared" ref="CC38:CC39" si="172">IF($O38="Ya",CA38*CB38,0)</f>
        <v>0</v>
      </c>
      <c r="CD38" s="120">
        <f t="shared" ref="CD38:CD39" si="173">CA38+CC38</f>
        <v>0</v>
      </c>
      <c r="CE38" s="66">
        <f>IF($L38="TER A",VLOOKUP(CA38,TER!$A$5:$D$48,4,TRUE),IF($L38="TER B",VLOOKUP(CA38,TER!$F$5:$I$44,4,TRUE),IF($L38="TER C",VLOOKUP(CA38,TER!$K$5:$N$45,4,TRUE),0)))</f>
        <v>0</v>
      </c>
      <c r="CF38" s="98">
        <f t="shared" ref="CF38:CF39" si="174">ROUND(CD38*CE38,0)</f>
        <v>0</v>
      </c>
      <c r="CH38" s="118">
        <f>'Data Gaji'!KL38</f>
        <v>0</v>
      </c>
      <c r="CI38" s="66">
        <f>IF($L38="TER A",VLOOKUP(CH38,TER!$A$5:$D$48,4,TRUE),IF($L38="TER B",VLOOKUP(CH38,TER!$F$5:$I$44,4,TRUE),IF($L38="TER C",VLOOKUP(CH38,TER!$K$5:$N$45,4,TRUE),0)))</f>
        <v>0</v>
      </c>
      <c r="CJ38" s="119">
        <f t="shared" ref="CJ38:CJ39" si="175">IF($O38="Ya",CH38*CI38,0)</f>
        <v>0</v>
      </c>
      <c r="CK38" s="120">
        <f t="shared" ref="CK38:CK39" si="176">CH38+CJ38</f>
        <v>0</v>
      </c>
      <c r="CL38" s="66">
        <f>IF($L38="TER A",VLOOKUP(CH38,TER!$A$5:$D$48,4,TRUE),IF($L38="TER B",VLOOKUP(CH38,TER!$F$5:$I$44,4,TRUE),IF($L38="TER C",VLOOKUP(CH38,TER!$K$5:$N$45,4,TRUE),0)))</f>
        <v>0</v>
      </c>
      <c r="CM38" s="98">
        <f t="shared" ref="CM38:CM39" si="177">ROUND(CK38*CL38,0)</f>
        <v>0</v>
      </c>
      <c r="CO38" s="118">
        <f>'Data Gaji'!LL40</f>
        <v>0</v>
      </c>
      <c r="CP38" s="66">
        <f>IF($L38="TER A",VLOOKUP(CO38,TER!$A$5:$D$48,4,TRUE),IF($L38="TER B",VLOOKUP(CO38,TER!$F$5:$I$44,4,TRUE),IF($L38="TER C",VLOOKUP(CO38,TER!$K$5:$N$45,4,TRUE),0)))</f>
        <v>0</v>
      </c>
      <c r="CQ38" s="119">
        <f t="shared" ref="CQ38:CQ39" si="178">IF($O38="Ya",CO38*CP38,0)</f>
        <v>0</v>
      </c>
      <c r="CR38" s="120">
        <f t="shared" ref="CR38:CR39" si="179">CO38+CQ38</f>
        <v>0</v>
      </c>
      <c r="CS38" s="66">
        <f>IF($L38="TER A",VLOOKUP(CO38,TER!$A$5:$D$48,4,TRUE),IF($L38="TER B",VLOOKUP(CO38,TER!$F$5:$I$44,4,TRUE),IF($L38="TER C",VLOOKUP(CO38,TER!$K$5:$N$45,4,TRUE),0)))</f>
        <v>0</v>
      </c>
      <c r="CT38" s="98">
        <f t="shared" ref="CT38:CT39" si="180">CR38*CS38</f>
        <v>0</v>
      </c>
    </row>
    <row r="39" spans="1:98" ht="15.5" thickTop="1" thickBot="1" x14ac:dyDescent="0.4">
      <c r="A39" s="52">
        <f t="shared" si="0"/>
        <v>33</v>
      </c>
      <c r="B39" s="69"/>
      <c r="C39" s="70"/>
      <c r="D39" s="55"/>
      <c r="E39" s="55"/>
      <c r="F39" s="56"/>
      <c r="G39" s="278"/>
      <c r="H39" s="58"/>
      <c r="I39" s="54"/>
      <c r="J39" s="59"/>
      <c r="K39" s="272">
        <f>'Data Gaji'!K39</f>
        <v>0</v>
      </c>
      <c r="L39" s="67" t="str">
        <f>IF(ISNA(VLOOKUP(K39,'PTKP &amp; TARIF'!$D$4:$E$11,2,0)),"",VLOOKUP(K39,'PTKP &amp; TARIF'!$D$4:$E$11,2,0))</f>
        <v/>
      </c>
      <c r="M39" s="9"/>
      <c r="N39" s="9"/>
      <c r="O39" s="115" t="s">
        <v>92</v>
      </c>
      <c r="P39" s="118">
        <f>'Data Gaji'!AL41</f>
        <v>0</v>
      </c>
      <c r="Q39" s="66">
        <f>IF($L39="TER A",VLOOKUP(P39,TER!$A$5:$D$48,4,TRUE),IF($L39="TER B",VLOOKUP(P39,TER!$F$5:$I$44,4,TRUE),IF($L39="TER C",VLOOKUP(P39,TER!$K$5:$N$45,4,TRUE),0)))</f>
        <v>0</v>
      </c>
      <c r="R39" s="61">
        <f t="shared" si="145"/>
        <v>0</v>
      </c>
      <c r="S39" s="120">
        <f t="shared" si="146"/>
        <v>0</v>
      </c>
      <c r="T39" s="66">
        <f>IF($L39="TER A",VLOOKUP(P39,TER!$A$5:$D$48,4,TRUE),IF($L39="TER B",VLOOKUP(P39,TER!$F$5:$I$44,4,TRUE),IF($L39="TER C",VLOOKUP(P39,TER!$K$5:$N$45,4,TRUE),0)))</f>
        <v>0</v>
      </c>
      <c r="U39" s="274">
        <f t="shared" si="147"/>
        <v>0</v>
      </c>
      <c r="W39" s="118">
        <f>'Data Gaji'!BL41</f>
        <v>0</v>
      </c>
      <c r="X39" s="66">
        <f>IF($L39="TER A",VLOOKUP(W39,TER!$A$5:$D$48,4,TRUE),IF($L39="TER B",VLOOKUP(W39,TER!$F$5:$I$44,4,TRUE),IF($L39="TER C",VLOOKUP(W39,TER!$K$5:$N$45,4,TRUE),0)))</f>
        <v>0</v>
      </c>
      <c r="Y39" s="119">
        <f t="shared" si="148"/>
        <v>0</v>
      </c>
      <c r="Z39" s="120">
        <f t="shared" si="149"/>
        <v>0</v>
      </c>
      <c r="AA39" s="66">
        <f>IF($L39="TER A",VLOOKUP(W39,TER!$A$5:$D$48,4,TRUE),IF($L39="TER B",VLOOKUP(W39,TER!$F$5:$I$44,4,TRUE),IF($L39="TER C",VLOOKUP(W39,TER!$K$5:$N$45,4,TRUE),0)))</f>
        <v>0</v>
      </c>
      <c r="AB39" s="98">
        <f t="shared" si="150"/>
        <v>0</v>
      </c>
      <c r="AD39" s="118">
        <f>'Data Gaji'!CL38</f>
        <v>0</v>
      </c>
      <c r="AE39" s="66">
        <f>IF($L39="TER A",VLOOKUP(AD39,TER!$A$5:$D$48,4,TRUE),IF($L39="TER B",VLOOKUP(AD39,TER!$F$5:$I$44,4,TRUE),IF($L39="TER C",VLOOKUP(AD39,TER!$K$5:$N$45,4,TRUE),0)))</f>
        <v>0</v>
      </c>
      <c r="AF39" s="119">
        <f t="shared" si="151"/>
        <v>0</v>
      </c>
      <c r="AG39" s="120">
        <f t="shared" si="152"/>
        <v>0</v>
      </c>
      <c r="AH39" s="66">
        <f>IF($L39="TER A",VLOOKUP(AD39,TER!$A$5:$D$48,4,TRUE),IF($L39="TER B",VLOOKUP(AD39,TER!$F$5:$I$44,4,TRUE),IF($L39="TER C",VLOOKUP(AD39,TER!$K$5:$N$45,4,TRUE),0)))</f>
        <v>0</v>
      </c>
      <c r="AI39" s="98">
        <f t="shared" si="153"/>
        <v>0</v>
      </c>
      <c r="AK39" s="118">
        <f>'Data Gaji'!DL39</f>
        <v>0</v>
      </c>
      <c r="AL39" s="66">
        <f>IF($L39="TER A",VLOOKUP(AK39,TER!$A$5:$D$48,4,TRUE),IF($L39="TER B",VLOOKUP(AK39,TER!$F$5:$I$44,4,TRUE),IF($L39="TER C",VLOOKUP(AK39,TER!$K$5:$N$45,4,TRUE),0)))</f>
        <v>0</v>
      </c>
      <c r="AM39" s="119">
        <f t="shared" si="154"/>
        <v>0</v>
      </c>
      <c r="AN39" s="120">
        <f t="shared" si="155"/>
        <v>0</v>
      </c>
      <c r="AO39" s="66">
        <f>IF($L39="TER A",VLOOKUP(AK39,TER!$A$5:$D$48,4,TRUE),IF($L39="TER B",VLOOKUP(AK39,TER!$F$5:$I$44,4,TRUE),IF($L39="TER C",VLOOKUP(AK39,TER!$K$5:$N$45,4,TRUE),0)))</f>
        <v>0</v>
      </c>
      <c r="AP39" s="98">
        <f t="shared" si="156"/>
        <v>0</v>
      </c>
      <c r="AR39" s="118">
        <f>'Data Gaji'!EL39</f>
        <v>0</v>
      </c>
      <c r="AS39" s="66">
        <f>IF($L39="TER A",VLOOKUP(AR39,TER!$A$5:$D$48,4,TRUE),IF($L39="TER B",VLOOKUP(AR39,TER!$F$5:$I$44,4,TRUE),IF($L39="TER C",VLOOKUP(AR39,TER!$K$5:$N$45,4,TRUE),0)))</f>
        <v>0</v>
      </c>
      <c r="AT39" s="119">
        <f t="shared" si="157"/>
        <v>0</v>
      </c>
      <c r="AU39" s="120">
        <f t="shared" si="158"/>
        <v>0</v>
      </c>
      <c r="AV39" s="66">
        <f>IF($L39="TER A",VLOOKUP(AR39,TER!$A$5:$D$48,4,TRUE),IF($L39="TER B",VLOOKUP(AR39,TER!$F$5:$I$44,4,TRUE),IF($L39="TER C",VLOOKUP(AR39,TER!$K$5:$N$45,4,TRUE),0)))</f>
        <v>0</v>
      </c>
      <c r="AW39" s="98">
        <f t="shared" si="159"/>
        <v>0</v>
      </c>
      <c r="AY39" s="118">
        <f>'Data Gaji'!FL39</f>
        <v>0</v>
      </c>
      <c r="AZ39" s="66">
        <f>IF($L39="TER A",VLOOKUP(AY39,TER!$A$5:$D$48,4,TRUE),IF($L39="TER B",VLOOKUP(AY39,TER!$F$5:$I$44,4,TRUE),IF($L39="TER C",VLOOKUP(AY39,TER!$K$5:$N$45,4,TRUE),0)))</f>
        <v>0</v>
      </c>
      <c r="BA39" s="119">
        <f t="shared" si="160"/>
        <v>0</v>
      </c>
      <c r="BB39" s="120">
        <f t="shared" si="161"/>
        <v>0</v>
      </c>
      <c r="BC39" s="66">
        <f>IF($L39="TER A",VLOOKUP(AY39,TER!$A$5:$D$48,4,TRUE),IF($L39="TER B",VLOOKUP(AY39,TER!$F$5:$I$44,4,TRUE),IF($L39="TER C",VLOOKUP(AY39,TER!$K$5:$N$45,4,TRUE),0)))</f>
        <v>0</v>
      </c>
      <c r="BD39" s="98">
        <f t="shared" si="162"/>
        <v>0</v>
      </c>
      <c r="BF39" s="118">
        <f>'Data Gaji'!GL39</f>
        <v>0</v>
      </c>
      <c r="BG39" s="66">
        <f>IF($L39="TER A",VLOOKUP(BF39,TER!$A$5:$D$48,4,TRUE),IF($L39="TER B",VLOOKUP(BF39,TER!$F$5:$I$44,4,TRUE),IF($L39="TER C",VLOOKUP(BF39,TER!$K$5:$N$45,4,TRUE),0)))</f>
        <v>0</v>
      </c>
      <c r="BH39" s="119">
        <f t="shared" si="163"/>
        <v>0</v>
      </c>
      <c r="BI39" s="120">
        <f t="shared" si="164"/>
        <v>0</v>
      </c>
      <c r="BJ39" s="66">
        <f>IF($L39="TER A",VLOOKUP(BF39,TER!$A$5:$D$48,4,TRUE),IF($L39="TER B",VLOOKUP(BF39,TER!$F$5:$I$44,4,TRUE),IF($L39="TER C",VLOOKUP(BF39,TER!$K$5:$N$45,4,TRUE),0)))</f>
        <v>0</v>
      </c>
      <c r="BK39" s="98">
        <f t="shared" si="165"/>
        <v>0</v>
      </c>
      <c r="BM39" s="118">
        <f>'Data Gaji'!HL39</f>
        <v>0</v>
      </c>
      <c r="BN39" s="66">
        <f>IF($L39="TER A",VLOOKUP(BM39,TER!$A$5:$D$48,4,TRUE),IF($L39="TER B",VLOOKUP(BM39,TER!$F$5:$I$44,4,TRUE),IF($L39="TER C",VLOOKUP(BM39,TER!$K$5:$N$45,4,TRUE),0)))</f>
        <v>0</v>
      </c>
      <c r="BO39" s="119">
        <f t="shared" si="166"/>
        <v>0</v>
      </c>
      <c r="BP39" s="120">
        <f t="shared" si="167"/>
        <v>0</v>
      </c>
      <c r="BQ39" s="66">
        <f>IF($L39="TER A",VLOOKUP(BM39,TER!$A$5:$D$48,4,TRUE),IF($L39="TER B",VLOOKUP(BM39,TER!$F$5:$I$44,4,TRUE),IF($L39="TER C",VLOOKUP(BM39,TER!$K$5:$N$45,4,TRUE),0)))</f>
        <v>0</v>
      </c>
      <c r="BR39" s="98">
        <f t="shared" si="168"/>
        <v>0</v>
      </c>
      <c r="BT39" s="118">
        <f>'Data Gaji'!IL39</f>
        <v>0</v>
      </c>
      <c r="BU39" s="66">
        <f>IF($L39="TER A",VLOOKUP(BT39,TER!$A$5:$D$48,4,TRUE),IF($L39="TER B",VLOOKUP(BT39,TER!$F$5:$I$44,4,TRUE),IF($L39="TER C",VLOOKUP(BT39,TER!$K$5:$N$45,4,TRUE),0)))</f>
        <v>0</v>
      </c>
      <c r="BV39" s="119">
        <f t="shared" si="169"/>
        <v>0</v>
      </c>
      <c r="BW39" s="120">
        <f t="shared" si="170"/>
        <v>0</v>
      </c>
      <c r="BX39" s="66">
        <f>IF($L39="TER A",VLOOKUP(BT39,TER!$A$5:$D$48,4,TRUE),IF($L39="TER B",VLOOKUP(BT39,TER!$F$5:$I$44,4,TRUE),IF($L39="TER C",VLOOKUP(BT39,TER!$K$5:$N$45,4,TRUE),0)))</f>
        <v>0</v>
      </c>
      <c r="BY39" s="98">
        <f t="shared" si="171"/>
        <v>0</v>
      </c>
      <c r="CA39" s="118">
        <f>'Data Gaji'!JL39</f>
        <v>0</v>
      </c>
      <c r="CB39" s="66">
        <f>IF($L39="TER A",VLOOKUP(CA39,TER!$A$5:$D$48,4,TRUE),IF($L39="TER B",VLOOKUP(CA39,TER!$F$5:$I$44,4,TRUE),IF($L39="TER C",VLOOKUP(CA39,TER!$K$5:$N$45,4,TRUE),0)))</f>
        <v>0</v>
      </c>
      <c r="CC39" s="119">
        <f t="shared" si="172"/>
        <v>0</v>
      </c>
      <c r="CD39" s="120">
        <f t="shared" si="173"/>
        <v>0</v>
      </c>
      <c r="CE39" s="66">
        <f>IF($L39="TER A",VLOOKUP(CA39,TER!$A$5:$D$48,4,TRUE),IF($L39="TER B",VLOOKUP(CA39,TER!$F$5:$I$44,4,TRUE),IF($L39="TER C",VLOOKUP(CA39,TER!$K$5:$N$45,4,TRUE),0)))</f>
        <v>0</v>
      </c>
      <c r="CF39" s="98">
        <f t="shared" si="174"/>
        <v>0</v>
      </c>
      <c r="CH39" s="118">
        <f>'Data Gaji'!KL39</f>
        <v>0</v>
      </c>
      <c r="CI39" s="66">
        <f>IF($L39="TER A",VLOOKUP(CH39,TER!$A$5:$D$48,4,TRUE),IF($L39="TER B",VLOOKUP(CH39,TER!$F$5:$I$44,4,TRUE),IF($L39="TER C",VLOOKUP(CH39,TER!$K$5:$N$45,4,TRUE),0)))</f>
        <v>0</v>
      </c>
      <c r="CJ39" s="119">
        <f t="shared" si="175"/>
        <v>0</v>
      </c>
      <c r="CK39" s="120">
        <f t="shared" si="176"/>
        <v>0</v>
      </c>
      <c r="CL39" s="66">
        <f>IF($L39="TER A",VLOOKUP(CH39,TER!$A$5:$D$48,4,TRUE),IF($L39="TER B",VLOOKUP(CH39,TER!$F$5:$I$44,4,TRUE),IF($L39="TER C",VLOOKUP(CH39,TER!$K$5:$N$45,4,TRUE),0)))</f>
        <v>0</v>
      </c>
      <c r="CM39" s="98">
        <f t="shared" si="177"/>
        <v>0</v>
      </c>
      <c r="CO39" s="118">
        <f>'Data Gaji'!LL41</f>
        <v>0</v>
      </c>
      <c r="CP39" s="66">
        <f>IF($L39="TER A",VLOOKUP(CO39,TER!$A$5:$D$48,4,TRUE),IF($L39="TER B",VLOOKUP(CO39,TER!$F$5:$I$44,4,TRUE),IF($L39="TER C",VLOOKUP(CO39,TER!$K$5:$N$45,4,TRUE),0)))</f>
        <v>0</v>
      </c>
      <c r="CQ39" s="119">
        <f t="shared" si="178"/>
        <v>0</v>
      </c>
      <c r="CR39" s="120">
        <f t="shared" si="179"/>
        <v>0</v>
      </c>
      <c r="CS39" s="66">
        <f>IF($L39="TER A",VLOOKUP(CO39,TER!$A$5:$D$48,4,TRUE),IF($L39="TER B",VLOOKUP(CO39,TER!$F$5:$I$44,4,TRUE),IF($L39="TER C",VLOOKUP(CO39,TER!$K$5:$N$45,4,TRUE),0)))</f>
        <v>0</v>
      </c>
      <c r="CT39" s="98">
        <f t="shared" si="180"/>
        <v>0</v>
      </c>
    </row>
    <row r="40" spans="1:98" ht="15.5" thickTop="1" thickBot="1" x14ac:dyDescent="0.4">
      <c r="A40" s="52">
        <f t="shared" si="0"/>
        <v>34</v>
      </c>
      <c r="B40" s="69"/>
      <c r="C40" s="70"/>
      <c r="D40" s="55"/>
      <c r="E40" s="55"/>
      <c r="F40" s="56"/>
      <c r="G40" s="278"/>
      <c r="H40" s="58"/>
      <c r="I40" s="54"/>
      <c r="J40" s="59"/>
      <c r="K40" s="272">
        <f>'Data Gaji'!K40</f>
        <v>0</v>
      </c>
      <c r="L40" s="67" t="str">
        <f>IF(ISNA(VLOOKUP(K40,'PTKP &amp; TARIF'!$D$4:$E$11,2,0)),"",VLOOKUP(K40,'PTKP &amp; TARIF'!$D$4:$E$11,2,0))</f>
        <v/>
      </c>
      <c r="M40" s="9"/>
      <c r="N40" s="9"/>
      <c r="O40" s="115" t="s">
        <v>92</v>
      </c>
      <c r="P40" s="118">
        <f>'Data Gaji'!AL42</f>
        <v>0</v>
      </c>
      <c r="Q40" s="66">
        <f>IF($L40="TER A",VLOOKUP(P40,TER!$A$5:$D$48,4,TRUE),IF($L40="TER B",VLOOKUP(P40,TER!$F$5:$I$44,4,TRUE),IF($L40="TER C",VLOOKUP(P40,TER!$K$5:$N$45,4,TRUE),0)))</f>
        <v>0</v>
      </c>
      <c r="R40" s="61">
        <f t="shared" ref="R40:R43" si="181">IF($O40="Ya",P40*Q40,0)</f>
        <v>0</v>
      </c>
      <c r="S40" s="120">
        <f t="shared" ref="S40:S43" si="182">P40+R40</f>
        <v>0</v>
      </c>
      <c r="T40" s="66">
        <f>IF($L40="TER A",VLOOKUP(P40,TER!$A$5:$D$48,4,TRUE),IF($L40="TER B",VLOOKUP(P40,TER!$F$5:$I$44,4,TRUE),IF($L40="TER C",VLOOKUP(P40,TER!$K$5:$N$45,4,TRUE),0)))</f>
        <v>0</v>
      </c>
      <c r="U40" s="274">
        <f t="shared" ref="U40:U43" si="183">ROUND(S40*T40,0)</f>
        <v>0</v>
      </c>
      <c r="W40" s="118">
        <f>'Data Gaji'!BL42</f>
        <v>0</v>
      </c>
      <c r="X40" s="66">
        <f>IF($L40="TER A",VLOOKUP(W40,TER!$A$5:$D$48,4,TRUE),IF($L40="TER B",VLOOKUP(W40,TER!$F$5:$I$44,4,TRUE),IF($L40="TER C",VLOOKUP(W40,TER!$K$5:$N$45,4,TRUE),0)))</f>
        <v>0</v>
      </c>
      <c r="Y40" s="119">
        <f t="shared" ref="Y40:Y43" si="184">IF($O40="Ya",W40*X40,0)</f>
        <v>0</v>
      </c>
      <c r="Z40" s="120">
        <f t="shared" ref="Z40:Z43" si="185">W40+Y40</f>
        <v>0</v>
      </c>
      <c r="AA40" s="66">
        <f>IF($L40="TER A",VLOOKUP(W40,TER!$A$5:$D$48,4,TRUE),IF($L40="TER B",VLOOKUP(W40,TER!$F$5:$I$44,4,TRUE),IF($L40="TER C",VLOOKUP(W40,TER!$K$5:$N$45,4,TRUE),0)))</f>
        <v>0</v>
      </c>
      <c r="AB40" s="98">
        <f t="shared" ref="AB40:AB43" si="186">ROUND(Z40*AA40,0)</f>
        <v>0</v>
      </c>
      <c r="AD40" s="118">
        <f>'Data Gaji'!CL39</f>
        <v>0</v>
      </c>
      <c r="AE40" s="66">
        <f>IF($L40="TER A",VLOOKUP(AD40,TER!$A$5:$D$48,4,TRUE),IF($L40="TER B",VLOOKUP(AD40,TER!$F$5:$I$44,4,TRUE),IF($L40="TER C",VLOOKUP(AD40,TER!$K$5:$N$45,4,TRUE),0)))</f>
        <v>0</v>
      </c>
      <c r="AF40" s="119">
        <f t="shared" ref="AF40:AF43" si="187">IF($O40="Ya",AD40*AE40,0)</f>
        <v>0</v>
      </c>
      <c r="AG40" s="120">
        <f t="shared" ref="AG40:AG43" si="188">AD40+AF40</f>
        <v>0</v>
      </c>
      <c r="AH40" s="66">
        <f>IF($L40="TER A",VLOOKUP(AD40,TER!$A$5:$D$48,4,TRUE),IF($L40="TER B",VLOOKUP(AD40,TER!$F$5:$I$44,4,TRUE),IF($L40="TER C",VLOOKUP(AD40,TER!$K$5:$N$45,4,TRUE),0)))</f>
        <v>0</v>
      </c>
      <c r="AI40" s="98">
        <f t="shared" ref="AI40:AI43" si="189">ROUND(AG40*AH40,0)</f>
        <v>0</v>
      </c>
      <c r="AK40" s="118">
        <f>'Data Gaji'!DL40</f>
        <v>0</v>
      </c>
      <c r="AL40" s="66">
        <f>IF($L40="TER A",VLOOKUP(AK40,TER!$A$5:$D$48,4,TRUE),IF($L40="TER B",VLOOKUP(AK40,TER!$F$5:$I$44,4,TRUE),IF($L40="TER C",VLOOKUP(AK40,TER!$K$5:$N$45,4,TRUE),0)))</f>
        <v>0</v>
      </c>
      <c r="AM40" s="119">
        <f t="shared" ref="AM40:AM43" si="190">IF($O40="Ya",AK40*AL40,0)</f>
        <v>0</v>
      </c>
      <c r="AN40" s="120">
        <f t="shared" ref="AN40:AN43" si="191">AK40+AM40</f>
        <v>0</v>
      </c>
      <c r="AO40" s="66">
        <f>IF($L40="TER A",VLOOKUP(AK40,TER!$A$5:$D$48,4,TRUE),IF($L40="TER B",VLOOKUP(AK40,TER!$F$5:$I$44,4,TRUE),IF($L40="TER C",VLOOKUP(AK40,TER!$K$5:$N$45,4,TRUE),0)))</f>
        <v>0</v>
      </c>
      <c r="AP40" s="98">
        <f t="shared" ref="AP40:AP43" si="192">ROUND(AN40*AO40,0)</f>
        <v>0</v>
      </c>
      <c r="AR40" s="118">
        <f>'Data Gaji'!EL40</f>
        <v>0</v>
      </c>
      <c r="AS40" s="66">
        <f>IF($L40="TER A",VLOOKUP(AR40,TER!$A$5:$D$48,4,TRUE),IF($L40="TER B",VLOOKUP(AR40,TER!$F$5:$I$44,4,TRUE),IF($L40="TER C",VLOOKUP(AR40,TER!$K$5:$N$45,4,TRUE),0)))</f>
        <v>0</v>
      </c>
      <c r="AT40" s="119">
        <f t="shared" ref="AT40:AT43" si="193">IF($O40="Ya",AR40*AS40,0)</f>
        <v>0</v>
      </c>
      <c r="AU40" s="120">
        <f t="shared" ref="AU40:AU43" si="194">AR40+AT40</f>
        <v>0</v>
      </c>
      <c r="AV40" s="66">
        <f>IF($L40="TER A",VLOOKUP(AR40,TER!$A$5:$D$48,4,TRUE),IF($L40="TER B",VLOOKUP(AR40,TER!$F$5:$I$44,4,TRUE),IF($L40="TER C",VLOOKUP(AR40,TER!$K$5:$N$45,4,TRUE),0)))</f>
        <v>0</v>
      </c>
      <c r="AW40" s="98">
        <f t="shared" ref="AW40:AW43" si="195">ROUND(AU40*AV40,0)</f>
        <v>0</v>
      </c>
      <c r="AY40" s="118">
        <f>'Data Gaji'!FL40</f>
        <v>0</v>
      </c>
      <c r="AZ40" s="66">
        <f>IF($L40="TER A",VLOOKUP(AY40,TER!$A$5:$D$48,4,TRUE),IF($L40="TER B",VLOOKUP(AY40,TER!$F$5:$I$44,4,TRUE),IF($L40="TER C",VLOOKUP(AY40,TER!$K$5:$N$45,4,TRUE),0)))</f>
        <v>0</v>
      </c>
      <c r="BA40" s="119">
        <f t="shared" ref="BA40:BA43" si="196">IF($O40="Ya",AY40*AZ40,0)</f>
        <v>0</v>
      </c>
      <c r="BB40" s="120">
        <f t="shared" ref="BB40:BB43" si="197">AY40+BA40</f>
        <v>0</v>
      </c>
      <c r="BC40" s="66">
        <f>IF($L40="TER A",VLOOKUP(AY40,TER!$A$5:$D$48,4,TRUE),IF($L40="TER B",VLOOKUP(AY40,TER!$F$5:$I$44,4,TRUE),IF($L40="TER C",VLOOKUP(AY40,TER!$K$5:$N$45,4,TRUE),0)))</f>
        <v>0</v>
      </c>
      <c r="BD40" s="98">
        <f t="shared" ref="BD40:BD43" si="198">ROUND(BB40*BC40,0)</f>
        <v>0</v>
      </c>
      <c r="BF40" s="118">
        <f>'Data Gaji'!GL40</f>
        <v>0</v>
      </c>
      <c r="BG40" s="66">
        <f>IF($L40="TER A",VLOOKUP(BF40,TER!$A$5:$D$48,4,TRUE),IF($L40="TER B",VLOOKUP(BF40,TER!$F$5:$I$44,4,TRUE),IF($L40="TER C",VLOOKUP(BF40,TER!$K$5:$N$45,4,TRUE),0)))</f>
        <v>0</v>
      </c>
      <c r="BH40" s="119">
        <f t="shared" ref="BH40:BH43" si="199">IF($O40="Ya",BF40*BG40,0)</f>
        <v>0</v>
      </c>
      <c r="BI40" s="120">
        <f t="shared" ref="BI40:BI43" si="200">BF40+BH40</f>
        <v>0</v>
      </c>
      <c r="BJ40" s="66">
        <f>IF($L40="TER A",VLOOKUP(BF40,TER!$A$5:$D$48,4,TRUE),IF($L40="TER B",VLOOKUP(BF40,TER!$F$5:$I$44,4,TRUE),IF($L40="TER C",VLOOKUP(BF40,TER!$K$5:$N$45,4,TRUE),0)))</f>
        <v>0</v>
      </c>
      <c r="BK40" s="98">
        <f t="shared" ref="BK40:BK43" si="201">ROUND(BI40*BJ40,0)</f>
        <v>0</v>
      </c>
      <c r="BM40" s="118">
        <f>'Data Gaji'!HL40</f>
        <v>0</v>
      </c>
      <c r="BN40" s="66">
        <f>IF($L40="TER A",VLOOKUP(BM40,TER!$A$5:$D$48,4,TRUE),IF($L40="TER B",VLOOKUP(BM40,TER!$F$5:$I$44,4,TRUE),IF($L40="TER C",VLOOKUP(BM40,TER!$K$5:$N$45,4,TRUE),0)))</f>
        <v>0</v>
      </c>
      <c r="BO40" s="119">
        <f t="shared" ref="BO40:BO43" si="202">IF($O40="Ya",BM40*BN40,0)</f>
        <v>0</v>
      </c>
      <c r="BP40" s="120">
        <f t="shared" ref="BP40:BP43" si="203">BM40+BO40</f>
        <v>0</v>
      </c>
      <c r="BQ40" s="66">
        <f>IF($L40="TER A",VLOOKUP(BM40,TER!$A$5:$D$48,4,TRUE),IF($L40="TER B",VLOOKUP(BM40,TER!$F$5:$I$44,4,TRUE),IF($L40="TER C",VLOOKUP(BM40,TER!$K$5:$N$45,4,TRUE),0)))</f>
        <v>0</v>
      </c>
      <c r="BR40" s="98">
        <f t="shared" ref="BR40:BR43" si="204">ROUND(BP40*BQ40,0)</f>
        <v>0</v>
      </c>
      <c r="BT40" s="118">
        <f>'Data Gaji'!IL40</f>
        <v>0</v>
      </c>
      <c r="BU40" s="66">
        <f>IF($L40="TER A",VLOOKUP(BT40,TER!$A$5:$D$48,4,TRUE),IF($L40="TER B",VLOOKUP(BT40,TER!$F$5:$I$44,4,TRUE),IF($L40="TER C",VLOOKUP(BT40,TER!$K$5:$N$45,4,TRUE),0)))</f>
        <v>0</v>
      </c>
      <c r="BV40" s="119">
        <f t="shared" ref="BV40:BV43" si="205">IF($O40="Ya",BT40*BU40,0)</f>
        <v>0</v>
      </c>
      <c r="BW40" s="120">
        <f t="shared" ref="BW40:BW43" si="206">BT40+BV40</f>
        <v>0</v>
      </c>
      <c r="BX40" s="66">
        <f>IF($L40="TER A",VLOOKUP(BT40,TER!$A$5:$D$48,4,TRUE),IF($L40="TER B",VLOOKUP(BT40,TER!$F$5:$I$44,4,TRUE),IF($L40="TER C",VLOOKUP(BT40,TER!$K$5:$N$45,4,TRUE),0)))</f>
        <v>0</v>
      </c>
      <c r="BY40" s="98">
        <f t="shared" ref="BY40:BY43" si="207">ROUND(BW40*BX40,0)</f>
        <v>0</v>
      </c>
      <c r="CA40" s="118">
        <f>'Data Gaji'!JL40</f>
        <v>0</v>
      </c>
      <c r="CB40" s="66">
        <f>IF($L40="TER A",VLOOKUP(CA40,TER!$A$5:$D$48,4,TRUE),IF($L40="TER B",VLOOKUP(CA40,TER!$F$5:$I$44,4,TRUE),IF($L40="TER C",VLOOKUP(CA40,TER!$K$5:$N$45,4,TRUE),0)))</f>
        <v>0</v>
      </c>
      <c r="CC40" s="119">
        <f t="shared" ref="CC40:CC43" si="208">IF($O40="Ya",CA40*CB40,0)</f>
        <v>0</v>
      </c>
      <c r="CD40" s="120">
        <f t="shared" ref="CD40:CD43" si="209">CA40+CC40</f>
        <v>0</v>
      </c>
      <c r="CE40" s="66">
        <f>IF($L40="TER A",VLOOKUP(CA40,TER!$A$5:$D$48,4,TRUE),IF($L40="TER B",VLOOKUP(CA40,TER!$F$5:$I$44,4,TRUE),IF($L40="TER C",VLOOKUP(CA40,TER!$K$5:$N$45,4,TRUE),0)))</f>
        <v>0</v>
      </c>
      <c r="CF40" s="98">
        <f t="shared" ref="CF40:CF43" si="210">ROUND(CD40*CE40,0)</f>
        <v>0</v>
      </c>
      <c r="CH40" s="118">
        <f>'Data Gaji'!KL40</f>
        <v>0</v>
      </c>
      <c r="CI40" s="66">
        <f>IF($L40="TER A",VLOOKUP(CH40,TER!$A$5:$D$48,4,TRUE),IF($L40="TER B",VLOOKUP(CH40,TER!$F$5:$I$44,4,TRUE),IF($L40="TER C",VLOOKUP(CH40,TER!$K$5:$N$45,4,TRUE),0)))</f>
        <v>0</v>
      </c>
      <c r="CJ40" s="119">
        <f t="shared" ref="CJ40:CJ43" si="211">IF($O40="Ya",CH40*CI40,0)</f>
        <v>0</v>
      </c>
      <c r="CK40" s="120">
        <f t="shared" ref="CK40:CK43" si="212">CH40+CJ40</f>
        <v>0</v>
      </c>
      <c r="CL40" s="66">
        <f>IF($L40="TER A",VLOOKUP(CH40,TER!$A$5:$D$48,4,TRUE),IF($L40="TER B",VLOOKUP(CH40,TER!$F$5:$I$44,4,TRUE),IF($L40="TER C",VLOOKUP(CH40,TER!$K$5:$N$45,4,TRUE),0)))</f>
        <v>0</v>
      </c>
      <c r="CM40" s="98">
        <f t="shared" ref="CM40:CM43" si="213">ROUND(CK40*CL40,0)</f>
        <v>0</v>
      </c>
      <c r="CO40" s="118">
        <f>'Data Gaji'!LL42</f>
        <v>0</v>
      </c>
      <c r="CP40" s="66">
        <f>IF($L40="TER A",VLOOKUP(CO40,TER!$A$5:$D$48,4,TRUE),IF($L40="TER B",VLOOKUP(CO40,TER!$F$5:$I$44,4,TRUE),IF($L40="TER C",VLOOKUP(CO40,TER!$K$5:$N$45,4,TRUE),0)))</f>
        <v>0</v>
      </c>
      <c r="CQ40" s="119">
        <f t="shared" ref="CQ40:CQ43" si="214">IF($O40="Ya",CO40*CP40,0)</f>
        <v>0</v>
      </c>
      <c r="CR40" s="120">
        <f t="shared" ref="CR40:CR43" si="215">CO40+CQ40</f>
        <v>0</v>
      </c>
      <c r="CS40" s="66">
        <f>IF($L40="TER A",VLOOKUP(CO40,TER!$A$5:$D$48,4,TRUE),IF($L40="TER B",VLOOKUP(CO40,TER!$F$5:$I$44,4,TRUE),IF($L40="TER C",VLOOKUP(CO40,TER!$K$5:$N$45,4,TRUE),0)))</f>
        <v>0</v>
      </c>
      <c r="CT40" s="98">
        <f t="shared" ref="CT40:CT43" si="216">CR40*CS40</f>
        <v>0</v>
      </c>
    </row>
    <row r="41" spans="1:98" ht="15.5" thickTop="1" thickBot="1" x14ac:dyDescent="0.4">
      <c r="A41" s="52">
        <f t="shared" si="0"/>
        <v>35</v>
      </c>
      <c r="B41" s="69"/>
      <c r="C41" s="70"/>
      <c r="D41" s="55"/>
      <c r="E41" s="55"/>
      <c r="F41" s="56"/>
      <c r="G41" s="57"/>
      <c r="H41" s="58"/>
      <c r="I41" s="54"/>
      <c r="J41" s="59"/>
      <c r="K41" s="272">
        <f>'Data Gaji'!K41</f>
        <v>0</v>
      </c>
      <c r="L41" s="67" t="str">
        <f>IF(ISNA(VLOOKUP(K41,'PTKP &amp; TARIF'!$D$4:$E$11,2,0)),"",VLOOKUP(K41,'PTKP &amp; TARIF'!$D$4:$E$11,2,0))</f>
        <v/>
      </c>
      <c r="M41" s="9"/>
      <c r="N41" s="9"/>
      <c r="O41" s="115" t="s">
        <v>92</v>
      </c>
      <c r="P41" s="118">
        <f>'Data Gaji'!AL43</f>
        <v>0</v>
      </c>
      <c r="Q41" s="66">
        <f>IF($L41="TER A",VLOOKUP(P41,TER!$A$5:$D$48,4,TRUE),IF($L41="TER B",VLOOKUP(P41,TER!$F$5:$I$44,4,TRUE),IF($L41="TER C",VLOOKUP(P41,TER!$K$5:$N$45,4,TRUE),0)))</f>
        <v>0</v>
      </c>
      <c r="R41" s="61">
        <f t="shared" si="181"/>
        <v>0</v>
      </c>
      <c r="S41" s="120">
        <f t="shared" si="182"/>
        <v>0</v>
      </c>
      <c r="T41" s="66">
        <f>IF($L41="TER A",VLOOKUP(P41,TER!$A$5:$D$48,4,TRUE),IF($L41="TER B",VLOOKUP(P41,TER!$F$5:$I$44,4,TRUE),IF($L41="TER C",VLOOKUP(P41,TER!$K$5:$N$45,4,TRUE),0)))</f>
        <v>0</v>
      </c>
      <c r="U41" s="274">
        <f t="shared" si="183"/>
        <v>0</v>
      </c>
      <c r="W41" s="118">
        <f>'Data Gaji'!BL43</f>
        <v>0</v>
      </c>
      <c r="X41" s="66">
        <f>IF($L41="TER A",VLOOKUP(W41,TER!$A$5:$D$48,4,TRUE),IF($L41="TER B",VLOOKUP(W41,TER!$F$5:$I$44,4,TRUE),IF($L41="TER C",VLOOKUP(W41,TER!$K$5:$N$45,4,TRUE),0)))</f>
        <v>0</v>
      </c>
      <c r="Y41" s="119">
        <f t="shared" si="184"/>
        <v>0</v>
      </c>
      <c r="Z41" s="120">
        <f t="shared" si="185"/>
        <v>0</v>
      </c>
      <c r="AA41" s="66">
        <f>IF($L41="TER A",VLOOKUP(W41,TER!$A$5:$D$48,4,TRUE),IF($L41="TER B",VLOOKUP(W41,TER!$F$5:$I$44,4,TRUE),IF($L41="TER C",VLOOKUP(W41,TER!$K$5:$N$45,4,TRUE),0)))</f>
        <v>0</v>
      </c>
      <c r="AB41" s="98">
        <f t="shared" si="186"/>
        <v>0</v>
      </c>
      <c r="AD41" s="118">
        <f>'Data Gaji'!CL40</f>
        <v>0</v>
      </c>
      <c r="AE41" s="66">
        <f>IF($L41="TER A",VLOOKUP(AD41,TER!$A$5:$D$48,4,TRUE),IF($L41="TER B",VLOOKUP(AD41,TER!$F$5:$I$44,4,TRUE),IF($L41="TER C",VLOOKUP(AD41,TER!$K$5:$N$45,4,TRUE),0)))</f>
        <v>0</v>
      </c>
      <c r="AF41" s="119">
        <f t="shared" si="187"/>
        <v>0</v>
      </c>
      <c r="AG41" s="120">
        <f t="shared" si="188"/>
        <v>0</v>
      </c>
      <c r="AH41" s="66">
        <f>IF($L41="TER A",VLOOKUP(AD41,TER!$A$5:$D$48,4,TRUE),IF($L41="TER B",VLOOKUP(AD41,TER!$F$5:$I$44,4,TRUE),IF($L41="TER C",VLOOKUP(AD41,TER!$K$5:$N$45,4,TRUE),0)))</f>
        <v>0</v>
      </c>
      <c r="AI41" s="98">
        <f t="shared" si="189"/>
        <v>0</v>
      </c>
      <c r="AK41" s="118">
        <f>'Data Gaji'!DL41</f>
        <v>0</v>
      </c>
      <c r="AL41" s="66">
        <f>IF($L41="TER A",VLOOKUP(AK41,TER!$A$5:$D$48,4,TRUE),IF($L41="TER B",VLOOKUP(AK41,TER!$F$5:$I$44,4,TRUE),IF($L41="TER C",VLOOKUP(AK41,TER!$K$5:$N$45,4,TRUE),0)))</f>
        <v>0</v>
      </c>
      <c r="AM41" s="119">
        <f t="shared" si="190"/>
        <v>0</v>
      </c>
      <c r="AN41" s="120">
        <f t="shared" si="191"/>
        <v>0</v>
      </c>
      <c r="AO41" s="66">
        <f>IF($L41="TER A",VLOOKUP(AK41,TER!$A$5:$D$48,4,TRUE),IF($L41="TER B",VLOOKUP(AK41,TER!$F$5:$I$44,4,TRUE),IF($L41="TER C",VLOOKUP(AK41,TER!$K$5:$N$45,4,TRUE),0)))</f>
        <v>0</v>
      </c>
      <c r="AP41" s="98">
        <f t="shared" si="192"/>
        <v>0</v>
      </c>
      <c r="AR41" s="118">
        <f>'Data Gaji'!EL41</f>
        <v>0</v>
      </c>
      <c r="AS41" s="66">
        <f>IF($L41="TER A",VLOOKUP(AR41,TER!$A$5:$D$48,4,TRUE),IF($L41="TER B",VLOOKUP(AR41,TER!$F$5:$I$44,4,TRUE),IF($L41="TER C",VLOOKUP(AR41,TER!$K$5:$N$45,4,TRUE),0)))</f>
        <v>0</v>
      </c>
      <c r="AT41" s="119">
        <f t="shared" si="193"/>
        <v>0</v>
      </c>
      <c r="AU41" s="120">
        <f t="shared" si="194"/>
        <v>0</v>
      </c>
      <c r="AV41" s="66">
        <f>IF($L41="TER A",VLOOKUP(AR41,TER!$A$5:$D$48,4,TRUE),IF($L41="TER B",VLOOKUP(AR41,TER!$F$5:$I$44,4,TRUE),IF($L41="TER C",VLOOKUP(AR41,TER!$K$5:$N$45,4,TRUE),0)))</f>
        <v>0</v>
      </c>
      <c r="AW41" s="98">
        <f t="shared" si="195"/>
        <v>0</v>
      </c>
      <c r="AY41" s="118">
        <f>'Data Gaji'!FL41</f>
        <v>0</v>
      </c>
      <c r="AZ41" s="66">
        <f>IF($L41="TER A",VLOOKUP(AY41,TER!$A$5:$D$48,4,TRUE),IF($L41="TER B",VLOOKUP(AY41,TER!$F$5:$I$44,4,TRUE),IF($L41="TER C",VLOOKUP(AY41,TER!$K$5:$N$45,4,TRUE),0)))</f>
        <v>0</v>
      </c>
      <c r="BA41" s="119">
        <f t="shared" si="196"/>
        <v>0</v>
      </c>
      <c r="BB41" s="120">
        <f t="shared" si="197"/>
        <v>0</v>
      </c>
      <c r="BC41" s="66">
        <f>IF($L41="TER A",VLOOKUP(AY41,TER!$A$5:$D$48,4,TRUE),IF($L41="TER B",VLOOKUP(AY41,TER!$F$5:$I$44,4,TRUE),IF($L41="TER C",VLOOKUP(AY41,TER!$K$5:$N$45,4,TRUE),0)))</f>
        <v>0</v>
      </c>
      <c r="BD41" s="98">
        <f t="shared" si="198"/>
        <v>0</v>
      </c>
      <c r="BF41" s="118">
        <f>'Data Gaji'!GL41</f>
        <v>0</v>
      </c>
      <c r="BG41" s="66">
        <f>IF($L41="TER A",VLOOKUP(BF41,TER!$A$5:$D$48,4,TRUE),IF($L41="TER B",VLOOKUP(BF41,TER!$F$5:$I$44,4,TRUE),IF($L41="TER C",VLOOKUP(BF41,TER!$K$5:$N$45,4,TRUE),0)))</f>
        <v>0</v>
      </c>
      <c r="BH41" s="119">
        <f t="shared" si="199"/>
        <v>0</v>
      </c>
      <c r="BI41" s="120">
        <f t="shared" si="200"/>
        <v>0</v>
      </c>
      <c r="BJ41" s="66">
        <f>IF($L41="TER A",VLOOKUP(BF41,TER!$A$5:$D$48,4,TRUE),IF($L41="TER B",VLOOKUP(BF41,TER!$F$5:$I$44,4,TRUE),IF($L41="TER C",VLOOKUP(BF41,TER!$K$5:$N$45,4,TRUE),0)))</f>
        <v>0</v>
      </c>
      <c r="BK41" s="98">
        <f t="shared" si="201"/>
        <v>0</v>
      </c>
      <c r="BM41" s="118">
        <f>'Data Gaji'!HL41</f>
        <v>0</v>
      </c>
      <c r="BN41" s="66">
        <f>IF($L41="TER A",VLOOKUP(BM41,TER!$A$5:$D$48,4,TRUE),IF($L41="TER B",VLOOKUP(BM41,TER!$F$5:$I$44,4,TRUE),IF($L41="TER C",VLOOKUP(BM41,TER!$K$5:$N$45,4,TRUE),0)))</f>
        <v>0</v>
      </c>
      <c r="BO41" s="119">
        <f t="shared" si="202"/>
        <v>0</v>
      </c>
      <c r="BP41" s="120">
        <f t="shared" si="203"/>
        <v>0</v>
      </c>
      <c r="BQ41" s="66">
        <f>IF($L41="TER A",VLOOKUP(BM41,TER!$A$5:$D$48,4,TRUE),IF($L41="TER B",VLOOKUP(BM41,TER!$F$5:$I$44,4,TRUE),IF($L41="TER C",VLOOKUP(BM41,TER!$K$5:$N$45,4,TRUE),0)))</f>
        <v>0</v>
      </c>
      <c r="BR41" s="98">
        <f t="shared" si="204"/>
        <v>0</v>
      </c>
      <c r="BT41" s="118">
        <f>'Data Gaji'!IL41</f>
        <v>0</v>
      </c>
      <c r="BU41" s="66">
        <f>IF($L41="TER A",VLOOKUP(BT41,TER!$A$5:$D$48,4,TRUE),IF($L41="TER B",VLOOKUP(BT41,TER!$F$5:$I$44,4,TRUE),IF($L41="TER C",VLOOKUP(BT41,TER!$K$5:$N$45,4,TRUE),0)))</f>
        <v>0</v>
      </c>
      <c r="BV41" s="119">
        <f t="shared" si="205"/>
        <v>0</v>
      </c>
      <c r="BW41" s="120">
        <f t="shared" si="206"/>
        <v>0</v>
      </c>
      <c r="BX41" s="66">
        <f>IF($L41="TER A",VLOOKUP(BT41,TER!$A$5:$D$48,4,TRUE),IF($L41="TER B",VLOOKUP(BT41,TER!$F$5:$I$44,4,TRUE),IF($L41="TER C",VLOOKUP(BT41,TER!$K$5:$N$45,4,TRUE),0)))</f>
        <v>0</v>
      </c>
      <c r="BY41" s="98">
        <f t="shared" si="207"/>
        <v>0</v>
      </c>
      <c r="CA41" s="118">
        <f>'Data Gaji'!JL41</f>
        <v>0</v>
      </c>
      <c r="CB41" s="66">
        <f>IF($L41="TER A",VLOOKUP(CA41,TER!$A$5:$D$48,4,TRUE),IF($L41="TER B",VLOOKUP(CA41,TER!$F$5:$I$44,4,TRUE),IF($L41="TER C",VLOOKUP(CA41,TER!$K$5:$N$45,4,TRUE),0)))</f>
        <v>0</v>
      </c>
      <c r="CC41" s="119">
        <f t="shared" si="208"/>
        <v>0</v>
      </c>
      <c r="CD41" s="120">
        <f t="shared" si="209"/>
        <v>0</v>
      </c>
      <c r="CE41" s="66">
        <f>IF($L41="TER A",VLOOKUP(CA41,TER!$A$5:$D$48,4,TRUE),IF($L41="TER B",VLOOKUP(CA41,TER!$F$5:$I$44,4,TRUE),IF($L41="TER C",VLOOKUP(CA41,TER!$K$5:$N$45,4,TRUE),0)))</f>
        <v>0</v>
      </c>
      <c r="CF41" s="98">
        <f t="shared" si="210"/>
        <v>0</v>
      </c>
      <c r="CH41" s="118">
        <f>'Data Gaji'!KL41</f>
        <v>0</v>
      </c>
      <c r="CI41" s="66">
        <f>IF($L41="TER A",VLOOKUP(CH41,TER!$A$5:$D$48,4,TRUE),IF($L41="TER B",VLOOKUP(CH41,TER!$F$5:$I$44,4,TRUE),IF($L41="TER C",VLOOKUP(CH41,TER!$K$5:$N$45,4,TRUE),0)))</f>
        <v>0</v>
      </c>
      <c r="CJ41" s="119">
        <f t="shared" si="211"/>
        <v>0</v>
      </c>
      <c r="CK41" s="120">
        <f t="shared" si="212"/>
        <v>0</v>
      </c>
      <c r="CL41" s="66">
        <f>IF($L41="TER A",VLOOKUP(CH41,TER!$A$5:$D$48,4,TRUE),IF($L41="TER B",VLOOKUP(CH41,TER!$F$5:$I$44,4,TRUE),IF($L41="TER C",VLOOKUP(CH41,TER!$K$5:$N$45,4,TRUE),0)))</f>
        <v>0</v>
      </c>
      <c r="CM41" s="98">
        <f t="shared" si="213"/>
        <v>0</v>
      </c>
      <c r="CO41" s="118">
        <f>'Data Gaji'!LL43</f>
        <v>0</v>
      </c>
      <c r="CP41" s="66">
        <f>IF($L41="TER A",VLOOKUP(CO41,TER!$A$5:$D$48,4,TRUE),IF($L41="TER B",VLOOKUP(CO41,TER!$F$5:$I$44,4,TRUE),IF($L41="TER C",VLOOKUP(CO41,TER!$K$5:$N$45,4,TRUE),0)))</f>
        <v>0</v>
      </c>
      <c r="CQ41" s="119">
        <f t="shared" si="214"/>
        <v>0</v>
      </c>
      <c r="CR41" s="120">
        <f t="shared" si="215"/>
        <v>0</v>
      </c>
      <c r="CS41" s="66">
        <f>IF($L41="TER A",VLOOKUP(CO41,TER!$A$5:$D$48,4,TRUE),IF($L41="TER B",VLOOKUP(CO41,TER!$F$5:$I$44,4,TRUE),IF($L41="TER C",VLOOKUP(CO41,TER!$K$5:$N$45,4,TRUE),0)))</f>
        <v>0</v>
      </c>
      <c r="CT41" s="98">
        <f t="shared" si="216"/>
        <v>0</v>
      </c>
    </row>
    <row r="42" spans="1:98" ht="15.5" thickTop="1" thickBot="1" x14ac:dyDescent="0.4">
      <c r="A42" s="52">
        <f t="shared" si="0"/>
        <v>36</v>
      </c>
      <c r="B42" s="69"/>
      <c r="C42" s="70"/>
      <c r="D42" s="55"/>
      <c r="E42" s="55"/>
      <c r="F42" s="56"/>
      <c r="G42" s="57"/>
      <c r="H42" s="58"/>
      <c r="I42" s="54"/>
      <c r="J42" s="59"/>
      <c r="K42" s="272">
        <f>'Data Gaji'!K42</f>
        <v>0</v>
      </c>
      <c r="L42" s="67" t="str">
        <f>IF(ISNA(VLOOKUP(K42,'PTKP &amp; TARIF'!$D$4:$E$11,2,0)),"",VLOOKUP(K42,'PTKP &amp; TARIF'!$D$4:$E$11,2,0))</f>
        <v/>
      </c>
      <c r="M42" s="9"/>
      <c r="N42" s="9"/>
      <c r="O42" s="115" t="s">
        <v>92</v>
      </c>
      <c r="P42" s="118">
        <f>'Data Gaji'!AL42</f>
        <v>0</v>
      </c>
      <c r="Q42" s="66">
        <f>IF($L42="TER A",VLOOKUP(P42,TER!$A$5:$D$48,4,TRUE),IF($L42="TER B",VLOOKUP(P42,TER!$F$5:$I$44,4,TRUE),IF($L42="TER C",VLOOKUP(P42,TER!$K$5:$N$45,4,TRUE),0)))</f>
        <v>0</v>
      </c>
      <c r="R42" s="61">
        <f t="shared" si="181"/>
        <v>0</v>
      </c>
      <c r="S42" s="120">
        <f t="shared" si="182"/>
        <v>0</v>
      </c>
      <c r="T42" s="66">
        <f>IF($L42="TER A",VLOOKUP(P42,TER!$A$5:$D$48,4,TRUE),IF($L42="TER B",VLOOKUP(P42,TER!$F$5:$I$44,4,TRUE),IF($L42="TER C",VLOOKUP(P42,TER!$K$5:$N$45,4,TRUE),0)))</f>
        <v>0</v>
      </c>
      <c r="U42" s="274">
        <f t="shared" si="183"/>
        <v>0</v>
      </c>
      <c r="W42" s="118">
        <f>'Data Gaji'!BL42</f>
        <v>0</v>
      </c>
      <c r="X42" s="66">
        <f>IF($L42="TER A",VLOOKUP(W42,TER!$A$5:$D$48,4,TRUE),IF($L42="TER B",VLOOKUP(W42,TER!$F$5:$I$44,4,TRUE),IF($L42="TER C",VLOOKUP(W42,TER!$K$5:$N$45,4,TRUE),0)))</f>
        <v>0</v>
      </c>
      <c r="Y42" s="119">
        <f t="shared" si="184"/>
        <v>0</v>
      </c>
      <c r="Z42" s="120">
        <f t="shared" si="185"/>
        <v>0</v>
      </c>
      <c r="AA42" s="66">
        <f>IF($L42="TER A",VLOOKUP(W42,TER!$A$5:$D$48,4,TRUE),IF($L42="TER B",VLOOKUP(W42,TER!$F$5:$I$44,4,TRUE),IF($L42="TER C",VLOOKUP(W42,TER!$K$5:$N$45,4,TRUE),0)))</f>
        <v>0</v>
      </c>
      <c r="AB42" s="98">
        <f t="shared" si="186"/>
        <v>0</v>
      </c>
      <c r="AD42" s="118">
        <f>'Data Gaji'!CL41</f>
        <v>0</v>
      </c>
      <c r="AE42" s="66">
        <f>IF($L42="TER A",VLOOKUP(AD42,TER!$A$5:$D$48,4,TRUE),IF($L42="TER B",VLOOKUP(AD42,TER!$F$5:$I$44,4,TRUE),IF($L42="TER C",VLOOKUP(AD42,TER!$K$5:$N$45,4,TRUE),0)))</f>
        <v>0</v>
      </c>
      <c r="AF42" s="119">
        <f t="shared" si="187"/>
        <v>0</v>
      </c>
      <c r="AG42" s="120">
        <f t="shared" si="188"/>
        <v>0</v>
      </c>
      <c r="AH42" s="66">
        <f>IF($L42="TER A",VLOOKUP(AD42,TER!$A$5:$D$48,4,TRUE),IF($L42="TER B",VLOOKUP(AD42,TER!$F$5:$I$44,4,TRUE),IF($L42="TER C",VLOOKUP(AD42,TER!$K$5:$N$45,4,TRUE),0)))</f>
        <v>0</v>
      </c>
      <c r="AI42" s="98">
        <f t="shared" si="189"/>
        <v>0</v>
      </c>
      <c r="AK42" s="118">
        <f>'Data Gaji'!DL42</f>
        <v>0</v>
      </c>
      <c r="AL42" s="66">
        <f>IF($L42="TER A",VLOOKUP(AK42,TER!$A$5:$D$48,4,TRUE),IF($L42="TER B",VLOOKUP(AK42,TER!$F$5:$I$44,4,TRUE),IF($L42="TER C",VLOOKUP(AK42,TER!$K$5:$N$45,4,TRUE),0)))</f>
        <v>0</v>
      </c>
      <c r="AM42" s="119">
        <f t="shared" si="190"/>
        <v>0</v>
      </c>
      <c r="AN42" s="120">
        <f t="shared" si="191"/>
        <v>0</v>
      </c>
      <c r="AO42" s="66">
        <f>IF($L42="TER A",VLOOKUP(AK42,TER!$A$5:$D$48,4,TRUE),IF($L42="TER B",VLOOKUP(AK42,TER!$F$5:$I$44,4,TRUE),IF($L42="TER C",VLOOKUP(AK42,TER!$K$5:$N$45,4,TRUE),0)))</f>
        <v>0</v>
      </c>
      <c r="AP42" s="98">
        <f t="shared" si="192"/>
        <v>0</v>
      </c>
      <c r="AR42" s="118">
        <f>'Data Gaji'!EL42</f>
        <v>0</v>
      </c>
      <c r="AS42" s="66">
        <f>IF($L42="TER A",VLOOKUP(AR42,TER!$A$5:$D$48,4,TRUE),IF($L42="TER B",VLOOKUP(AR42,TER!$F$5:$I$44,4,TRUE),IF($L42="TER C",VLOOKUP(AR42,TER!$K$5:$N$45,4,TRUE),0)))</f>
        <v>0</v>
      </c>
      <c r="AT42" s="119">
        <f t="shared" si="193"/>
        <v>0</v>
      </c>
      <c r="AU42" s="120">
        <f t="shared" si="194"/>
        <v>0</v>
      </c>
      <c r="AV42" s="66">
        <f>IF($L42="TER A",VLOOKUP(AR42,TER!$A$5:$D$48,4,TRUE),IF($L42="TER B",VLOOKUP(AR42,TER!$F$5:$I$44,4,TRUE),IF($L42="TER C",VLOOKUP(AR42,TER!$K$5:$N$45,4,TRUE),0)))</f>
        <v>0</v>
      </c>
      <c r="AW42" s="98">
        <f t="shared" si="195"/>
        <v>0</v>
      </c>
      <c r="AY42" s="118">
        <f>'Data Gaji'!FL42</f>
        <v>0</v>
      </c>
      <c r="AZ42" s="66">
        <f>IF($L42="TER A",VLOOKUP(AY42,TER!$A$5:$D$48,4,TRUE),IF($L42="TER B",VLOOKUP(AY42,TER!$F$5:$I$44,4,TRUE),IF($L42="TER C",VLOOKUP(AY42,TER!$K$5:$N$45,4,TRUE),0)))</f>
        <v>0</v>
      </c>
      <c r="BA42" s="119">
        <f t="shared" si="196"/>
        <v>0</v>
      </c>
      <c r="BB42" s="120">
        <f t="shared" si="197"/>
        <v>0</v>
      </c>
      <c r="BC42" s="66">
        <f>IF($L42="TER A",VLOOKUP(AY42,TER!$A$5:$D$48,4,TRUE),IF($L42="TER B",VLOOKUP(AY42,TER!$F$5:$I$44,4,TRUE),IF($L42="TER C",VLOOKUP(AY42,TER!$K$5:$N$45,4,TRUE),0)))</f>
        <v>0</v>
      </c>
      <c r="BD42" s="98">
        <f t="shared" si="198"/>
        <v>0</v>
      </c>
      <c r="BF42" s="118">
        <f>'Data Gaji'!GL42</f>
        <v>0</v>
      </c>
      <c r="BG42" s="66">
        <f>IF($L42="TER A",VLOOKUP(BF42,TER!$A$5:$D$48,4,TRUE),IF($L42="TER B",VLOOKUP(BF42,TER!$F$5:$I$44,4,TRUE),IF($L42="TER C",VLOOKUP(BF42,TER!$K$5:$N$45,4,TRUE),0)))</f>
        <v>0</v>
      </c>
      <c r="BH42" s="119">
        <f t="shared" si="199"/>
        <v>0</v>
      </c>
      <c r="BI42" s="120">
        <f t="shared" si="200"/>
        <v>0</v>
      </c>
      <c r="BJ42" s="66">
        <f>IF($L42="TER A",VLOOKUP(BF42,TER!$A$5:$D$48,4,TRUE),IF($L42="TER B",VLOOKUP(BF42,TER!$F$5:$I$44,4,TRUE),IF($L42="TER C",VLOOKUP(BF42,TER!$K$5:$N$45,4,TRUE),0)))</f>
        <v>0</v>
      </c>
      <c r="BK42" s="98">
        <f t="shared" si="201"/>
        <v>0</v>
      </c>
      <c r="BM42" s="118">
        <f>'Data Gaji'!HL42</f>
        <v>0</v>
      </c>
      <c r="BN42" s="66">
        <f>IF($L42="TER A",VLOOKUP(BM42,TER!$A$5:$D$48,4,TRUE),IF($L42="TER B",VLOOKUP(BM42,TER!$F$5:$I$44,4,TRUE),IF($L42="TER C",VLOOKUP(BM42,TER!$K$5:$N$45,4,TRUE),0)))</f>
        <v>0</v>
      </c>
      <c r="BO42" s="119">
        <f t="shared" si="202"/>
        <v>0</v>
      </c>
      <c r="BP42" s="120">
        <f t="shared" si="203"/>
        <v>0</v>
      </c>
      <c r="BQ42" s="66">
        <f>IF($L42="TER A",VLOOKUP(BM42,TER!$A$5:$D$48,4,TRUE),IF($L42="TER B",VLOOKUP(BM42,TER!$F$5:$I$44,4,TRUE),IF($L42="TER C",VLOOKUP(BM42,TER!$K$5:$N$45,4,TRUE),0)))</f>
        <v>0</v>
      </c>
      <c r="BR42" s="98">
        <f t="shared" si="204"/>
        <v>0</v>
      </c>
      <c r="BT42" s="118">
        <f>'Data Gaji'!IL42</f>
        <v>0</v>
      </c>
      <c r="BU42" s="66">
        <f>IF($L42="TER A",VLOOKUP(BT42,TER!$A$5:$D$48,4,TRUE),IF($L42="TER B",VLOOKUP(BT42,TER!$F$5:$I$44,4,TRUE),IF($L42="TER C",VLOOKUP(BT42,TER!$K$5:$N$45,4,TRUE),0)))</f>
        <v>0</v>
      </c>
      <c r="BV42" s="119">
        <f t="shared" si="205"/>
        <v>0</v>
      </c>
      <c r="BW42" s="120">
        <f t="shared" si="206"/>
        <v>0</v>
      </c>
      <c r="BX42" s="66">
        <f>IF($L42="TER A",VLOOKUP(BT42,TER!$A$5:$D$48,4,TRUE),IF($L42="TER B",VLOOKUP(BT42,TER!$F$5:$I$44,4,TRUE),IF($L42="TER C",VLOOKUP(BT42,TER!$K$5:$N$45,4,TRUE),0)))</f>
        <v>0</v>
      </c>
      <c r="BY42" s="98">
        <f t="shared" si="207"/>
        <v>0</v>
      </c>
      <c r="CA42" s="118">
        <f>'Data Gaji'!JL42</f>
        <v>0</v>
      </c>
      <c r="CB42" s="66">
        <f>IF($L42="TER A",VLOOKUP(CA42,TER!$A$5:$D$48,4,TRUE),IF($L42="TER B",VLOOKUP(CA42,TER!$F$5:$I$44,4,TRUE),IF($L42="TER C",VLOOKUP(CA42,TER!$K$5:$N$45,4,TRUE),0)))</f>
        <v>0</v>
      </c>
      <c r="CC42" s="119">
        <f t="shared" si="208"/>
        <v>0</v>
      </c>
      <c r="CD42" s="120">
        <f t="shared" si="209"/>
        <v>0</v>
      </c>
      <c r="CE42" s="66">
        <f>IF($L42="TER A",VLOOKUP(CA42,TER!$A$5:$D$48,4,TRUE),IF($L42="TER B",VLOOKUP(CA42,TER!$F$5:$I$44,4,TRUE),IF($L42="TER C",VLOOKUP(CA42,TER!$K$5:$N$45,4,TRUE),0)))</f>
        <v>0</v>
      </c>
      <c r="CF42" s="98">
        <f t="shared" si="210"/>
        <v>0</v>
      </c>
      <c r="CH42" s="118">
        <f>'Data Gaji'!KL42</f>
        <v>0</v>
      </c>
      <c r="CI42" s="66">
        <f>IF($L42="TER A",VLOOKUP(CH42,TER!$A$5:$D$48,4,TRUE),IF($L42="TER B",VLOOKUP(CH42,TER!$F$5:$I$44,4,TRUE),IF($L42="TER C",VLOOKUP(CH42,TER!$K$5:$N$45,4,TRUE),0)))</f>
        <v>0</v>
      </c>
      <c r="CJ42" s="119">
        <f t="shared" si="211"/>
        <v>0</v>
      </c>
      <c r="CK42" s="120">
        <f t="shared" si="212"/>
        <v>0</v>
      </c>
      <c r="CL42" s="66">
        <f>IF($L42="TER A",VLOOKUP(CH42,TER!$A$5:$D$48,4,TRUE),IF($L42="TER B",VLOOKUP(CH42,TER!$F$5:$I$44,4,TRUE),IF($L42="TER C",VLOOKUP(CH42,TER!$K$5:$N$45,4,TRUE),0)))</f>
        <v>0</v>
      </c>
      <c r="CM42" s="98">
        <f t="shared" si="213"/>
        <v>0</v>
      </c>
      <c r="CO42" s="118">
        <f>'Data Gaji'!LL42</f>
        <v>0</v>
      </c>
      <c r="CP42" s="66">
        <f>IF($L42="TER A",VLOOKUP(CO42,TER!$A$5:$D$48,4,TRUE),IF($L42="TER B",VLOOKUP(CO42,TER!$F$5:$I$44,4,TRUE),IF($L42="TER C",VLOOKUP(CO42,TER!$K$5:$N$45,4,TRUE),0)))</f>
        <v>0</v>
      </c>
      <c r="CQ42" s="119">
        <f t="shared" si="214"/>
        <v>0</v>
      </c>
      <c r="CR42" s="120">
        <f t="shared" si="215"/>
        <v>0</v>
      </c>
      <c r="CS42" s="66">
        <f>IF($L42="TER A",VLOOKUP(CO42,TER!$A$5:$D$48,4,TRUE),IF($L42="TER B",VLOOKUP(CO42,TER!$F$5:$I$44,4,TRUE),IF($L42="TER C",VLOOKUP(CO42,TER!$K$5:$N$45,4,TRUE),0)))</f>
        <v>0</v>
      </c>
      <c r="CT42" s="98">
        <f t="shared" si="216"/>
        <v>0</v>
      </c>
    </row>
    <row r="43" spans="1:98" ht="15.5" thickTop="1" thickBot="1" x14ac:dyDescent="0.4">
      <c r="A43" s="52">
        <f t="shared" si="0"/>
        <v>37</v>
      </c>
      <c r="B43" s="69"/>
      <c r="C43" s="70"/>
      <c r="D43" s="55"/>
      <c r="E43" s="55"/>
      <c r="F43" s="56"/>
      <c r="G43" s="57"/>
      <c r="H43" s="58"/>
      <c r="I43" s="54"/>
      <c r="J43" s="59"/>
      <c r="K43" s="272">
        <f>'Data Gaji'!K43</f>
        <v>0</v>
      </c>
      <c r="L43" s="67" t="str">
        <f>IF(ISNA(VLOOKUP(K43,'PTKP &amp; TARIF'!$D$4:$E$11,2,0)),"",VLOOKUP(K43,'PTKP &amp; TARIF'!$D$4:$E$11,2,0))</f>
        <v/>
      </c>
      <c r="M43" s="9"/>
      <c r="N43" s="9"/>
      <c r="O43" s="115" t="s">
        <v>92</v>
      </c>
      <c r="P43" s="118">
        <f>'Data Gaji'!AL43</f>
        <v>0</v>
      </c>
      <c r="Q43" s="66">
        <f>IF($L43="TER A",VLOOKUP(P43,TER!$A$5:$D$48,4,TRUE),IF($L43="TER B",VLOOKUP(P43,TER!$F$5:$I$44,4,TRUE),IF($L43="TER C",VLOOKUP(P43,TER!$K$5:$N$45,4,TRUE),0)))</f>
        <v>0</v>
      </c>
      <c r="R43" s="61">
        <f t="shared" si="181"/>
        <v>0</v>
      </c>
      <c r="S43" s="120">
        <f t="shared" si="182"/>
        <v>0</v>
      </c>
      <c r="T43" s="66">
        <f>IF($L43="TER A",VLOOKUP(P43,TER!$A$5:$D$48,4,TRUE),IF($L43="TER B",VLOOKUP(P43,TER!$F$5:$I$44,4,TRUE),IF($L43="TER C",VLOOKUP(P43,TER!$K$5:$N$45,4,TRUE),0)))</f>
        <v>0</v>
      </c>
      <c r="U43" s="274">
        <f t="shared" si="183"/>
        <v>0</v>
      </c>
      <c r="W43" s="118">
        <f>'Data Gaji'!BL43</f>
        <v>0</v>
      </c>
      <c r="X43" s="66">
        <f>IF($L43="TER A",VLOOKUP(W43,TER!$A$5:$D$48,4,TRUE),IF($L43="TER B",VLOOKUP(W43,TER!$F$5:$I$44,4,TRUE),IF($L43="TER C",VLOOKUP(W43,TER!$K$5:$N$45,4,TRUE),0)))</f>
        <v>0</v>
      </c>
      <c r="Y43" s="119">
        <f t="shared" si="184"/>
        <v>0</v>
      </c>
      <c r="Z43" s="120">
        <f t="shared" si="185"/>
        <v>0</v>
      </c>
      <c r="AA43" s="66">
        <f>IF($L43="TER A",VLOOKUP(W43,TER!$A$5:$D$48,4,TRUE),IF($L43="TER B",VLOOKUP(W43,TER!$F$5:$I$44,4,TRUE),IF($L43="TER C",VLOOKUP(W43,TER!$K$5:$N$45,4,TRUE),0)))</f>
        <v>0</v>
      </c>
      <c r="AB43" s="98">
        <f t="shared" si="186"/>
        <v>0</v>
      </c>
      <c r="AD43" s="118">
        <f>'Data Gaji'!CL42</f>
        <v>0</v>
      </c>
      <c r="AE43" s="66">
        <f>IF($L43="TER A",VLOOKUP(AD43,TER!$A$5:$D$48,4,TRUE),IF($L43="TER B",VLOOKUP(AD43,TER!$F$5:$I$44,4,TRUE),IF($L43="TER C",VLOOKUP(AD43,TER!$K$5:$N$45,4,TRUE),0)))</f>
        <v>0</v>
      </c>
      <c r="AF43" s="119">
        <f t="shared" si="187"/>
        <v>0</v>
      </c>
      <c r="AG43" s="120">
        <f t="shared" si="188"/>
        <v>0</v>
      </c>
      <c r="AH43" s="66">
        <f>IF($L43="TER A",VLOOKUP(AD43,TER!$A$5:$D$48,4,TRUE),IF($L43="TER B",VLOOKUP(AD43,TER!$F$5:$I$44,4,TRUE),IF($L43="TER C",VLOOKUP(AD43,TER!$K$5:$N$45,4,TRUE),0)))</f>
        <v>0</v>
      </c>
      <c r="AI43" s="98">
        <f t="shared" si="189"/>
        <v>0</v>
      </c>
      <c r="AK43" s="118">
        <f>'Data Gaji'!DL43</f>
        <v>0</v>
      </c>
      <c r="AL43" s="66">
        <f>IF($L43="TER A",VLOOKUP(AK43,TER!$A$5:$D$48,4,TRUE),IF($L43="TER B",VLOOKUP(AK43,TER!$F$5:$I$44,4,TRUE),IF($L43="TER C",VLOOKUP(AK43,TER!$K$5:$N$45,4,TRUE),0)))</f>
        <v>0</v>
      </c>
      <c r="AM43" s="119">
        <f t="shared" si="190"/>
        <v>0</v>
      </c>
      <c r="AN43" s="120">
        <f t="shared" si="191"/>
        <v>0</v>
      </c>
      <c r="AO43" s="66">
        <f>IF($L43="TER A",VLOOKUP(AK43,TER!$A$5:$D$48,4,TRUE),IF($L43="TER B",VLOOKUP(AK43,TER!$F$5:$I$44,4,TRUE),IF($L43="TER C",VLOOKUP(AK43,TER!$K$5:$N$45,4,TRUE),0)))</f>
        <v>0</v>
      </c>
      <c r="AP43" s="98">
        <f t="shared" si="192"/>
        <v>0</v>
      </c>
      <c r="AR43" s="118">
        <f>'Data Gaji'!EL43</f>
        <v>0</v>
      </c>
      <c r="AS43" s="66">
        <f>IF($L43="TER A",VLOOKUP(AR43,TER!$A$5:$D$48,4,TRUE),IF($L43="TER B",VLOOKUP(AR43,TER!$F$5:$I$44,4,TRUE),IF($L43="TER C",VLOOKUP(AR43,TER!$K$5:$N$45,4,TRUE),0)))</f>
        <v>0</v>
      </c>
      <c r="AT43" s="119">
        <f t="shared" si="193"/>
        <v>0</v>
      </c>
      <c r="AU43" s="120">
        <f t="shared" si="194"/>
        <v>0</v>
      </c>
      <c r="AV43" s="66">
        <f>IF($L43="TER A",VLOOKUP(AR43,TER!$A$5:$D$48,4,TRUE),IF($L43="TER B",VLOOKUP(AR43,TER!$F$5:$I$44,4,TRUE),IF($L43="TER C",VLOOKUP(AR43,TER!$K$5:$N$45,4,TRUE),0)))</f>
        <v>0</v>
      </c>
      <c r="AW43" s="98">
        <f t="shared" si="195"/>
        <v>0</v>
      </c>
      <c r="AY43" s="118">
        <f>'Data Gaji'!FL43</f>
        <v>0</v>
      </c>
      <c r="AZ43" s="66">
        <f>IF($L43="TER A",VLOOKUP(AY43,TER!$A$5:$D$48,4,TRUE),IF($L43="TER B",VLOOKUP(AY43,TER!$F$5:$I$44,4,TRUE),IF($L43="TER C",VLOOKUP(AY43,TER!$K$5:$N$45,4,TRUE),0)))</f>
        <v>0</v>
      </c>
      <c r="BA43" s="119">
        <f t="shared" si="196"/>
        <v>0</v>
      </c>
      <c r="BB43" s="120">
        <f t="shared" si="197"/>
        <v>0</v>
      </c>
      <c r="BC43" s="66">
        <f>IF($L43="TER A",VLOOKUP(AY43,TER!$A$5:$D$48,4,TRUE),IF($L43="TER B",VLOOKUP(AY43,TER!$F$5:$I$44,4,TRUE),IF($L43="TER C",VLOOKUP(AY43,TER!$K$5:$N$45,4,TRUE),0)))</f>
        <v>0</v>
      </c>
      <c r="BD43" s="98">
        <f t="shared" si="198"/>
        <v>0</v>
      </c>
      <c r="BF43" s="118">
        <f>'Data Gaji'!GL43</f>
        <v>0</v>
      </c>
      <c r="BG43" s="66">
        <f>IF($L43="TER A",VLOOKUP(BF43,TER!$A$5:$D$48,4,TRUE),IF($L43="TER B",VLOOKUP(BF43,TER!$F$5:$I$44,4,TRUE),IF($L43="TER C",VLOOKUP(BF43,TER!$K$5:$N$45,4,TRUE),0)))</f>
        <v>0</v>
      </c>
      <c r="BH43" s="119">
        <f t="shared" si="199"/>
        <v>0</v>
      </c>
      <c r="BI43" s="120">
        <f t="shared" si="200"/>
        <v>0</v>
      </c>
      <c r="BJ43" s="66">
        <f>IF($L43="TER A",VLOOKUP(BF43,TER!$A$5:$D$48,4,TRUE),IF($L43="TER B",VLOOKUP(BF43,TER!$F$5:$I$44,4,TRUE),IF($L43="TER C",VLOOKUP(BF43,TER!$K$5:$N$45,4,TRUE),0)))</f>
        <v>0</v>
      </c>
      <c r="BK43" s="98">
        <f t="shared" si="201"/>
        <v>0</v>
      </c>
      <c r="BM43" s="118">
        <f>'Data Gaji'!HL43</f>
        <v>0</v>
      </c>
      <c r="BN43" s="66">
        <f>IF($L43="TER A",VLOOKUP(BM43,TER!$A$5:$D$48,4,TRUE),IF($L43="TER B",VLOOKUP(BM43,TER!$F$5:$I$44,4,TRUE),IF($L43="TER C",VLOOKUP(BM43,TER!$K$5:$N$45,4,TRUE),0)))</f>
        <v>0</v>
      </c>
      <c r="BO43" s="119">
        <f t="shared" si="202"/>
        <v>0</v>
      </c>
      <c r="BP43" s="120">
        <f t="shared" si="203"/>
        <v>0</v>
      </c>
      <c r="BQ43" s="66">
        <f>IF($L43="TER A",VLOOKUP(BM43,TER!$A$5:$D$48,4,TRUE),IF($L43="TER B",VLOOKUP(BM43,TER!$F$5:$I$44,4,TRUE),IF($L43="TER C",VLOOKUP(BM43,TER!$K$5:$N$45,4,TRUE),0)))</f>
        <v>0</v>
      </c>
      <c r="BR43" s="98">
        <f t="shared" si="204"/>
        <v>0</v>
      </c>
      <c r="BT43" s="118">
        <f>'Data Gaji'!IL43</f>
        <v>0</v>
      </c>
      <c r="BU43" s="66">
        <f>IF($L43="TER A",VLOOKUP(BT43,TER!$A$5:$D$48,4,TRUE),IF($L43="TER B",VLOOKUP(BT43,TER!$F$5:$I$44,4,TRUE),IF($L43="TER C",VLOOKUP(BT43,TER!$K$5:$N$45,4,TRUE),0)))</f>
        <v>0</v>
      </c>
      <c r="BV43" s="119">
        <f t="shared" si="205"/>
        <v>0</v>
      </c>
      <c r="BW43" s="120">
        <f t="shared" si="206"/>
        <v>0</v>
      </c>
      <c r="BX43" s="66">
        <f>IF($L43="TER A",VLOOKUP(BT43,TER!$A$5:$D$48,4,TRUE),IF($L43="TER B",VLOOKUP(BT43,TER!$F$5:$I$44,4,TRUE),IF($L43="TER C",VLOOKUP(BT43,TER!$K$5:$N$45,4,TRUE),0)))</f>
        <v>0</v>
      </c>
      <c r="BY43" s="98">
        <f t="shared" si="207"/>
        <v>0</v>
      </c>
      <c r="CA43" s="118">
        <f>'Data Gaji'!JL43</f>
        <v>0</v>
      </c>
      <c r="CB43" s="66">
        <f>IF($L43="TER A",VLOOKUP(CA43,TER!$A$5:$D$48,4,TRUE),IF($L43="TER B",VLOOKUP(CA43,TER!$F$5:$I$44,4,TRUE),IF($L43="TER C",VLOOKUP(CA43,TER!$K$5:$N$45,4,TRUE),0)))</f>
        <v>0</v>
      </c>
      <c r="CC43" s="119">
        <f t="shared" si="208"/>
        <v>0</v>
      </c>
      <c r="CD43" s="120">
        <f t="shared" si="209"/>
        <v>0</v>
      </c>
      <c r="CE43" s="66">
        <f>IF($L43="TER A",VLOOKUP(CA43,TER!$A$5:$D$48,4,TRUE),IF($L43="TER B",VLOOKUP(CA43,TER!$F$5:$I$44,4,TRUE),IF($L43="TER C",VLOOKUP(CA43,TER!$K$5:$N$45,4,TRUE),0)))</f>
        <v>0</v>
      </c>
      <c r="CF43" s="98">
        <f t="shared" si="210"/>
        <v>0</v>
      </c>
      <c r="CH43" s="118">
        <f>'Data Gaji'!KL43</f>
        <v>0</v>
      </c>
      <c r="CI43" s="66">
        <f>IF($L43="TER A",VLOOKUP(CH43,TER!$A$5:$D$48,4,TRUE),IF($L43="TER B",VLOOKUP(CH43,TER!$F$5:$I$44,4,TRUE),IF($L43="TER C",VLOOKUP(CH43,TER!$K$5:$N$45,4,TRUE),0)))</f>
        <v>0</v>
      </c>
      <c r="CJ43" s="119">
        <f t="shared" si="211"/>
        <v>0</v>
      </c>
      <c r="CK43" s="120">
        <f t="shared" si="212"/>
        <v>0</v>
      </c>
      <c r="CL43" s="66">
        <f>IF($L43="TER A",VLOOKUP(CH43,TER!$A$5:$D$48,4,TRUE),IF($L43="TER B",VLOOKUP(CH43,TER!$F$5:$I$44,4,TRUE),IF($L43="TER C",VLOOKUP(CH43,TER!$K$5:$N$45,4,TRUE),0)))</f>
        <v>0</v>
      </c>
      <c r="CM43" s="98">
        <f t="shared" si="213"/>
        <v>0</v>
      </c>
      <c r="CO43" s="118">
        <f>'Data Gaji'!LL43</f>
        <v>0</v>
      </c>
      <c r="CP43" s="66">
        <f>IF($L43="TER A",VLOOKUP(CO43,TER!$A$5:$D$48,4,TRUE),IF($L43="TER B",VLOOKUP(CO43,TER!$F$5:$I$44,4,TRUE),IF($L43="TER C",VLOOKUP(CO43,TER!$K$5:$N$45,4,TRUE),0)))</f>
        <v>0</v>
      </c>
      <c r="CQ43" s="119">
        <f t="shared" si="214"/>
        <v>0</v>
      </c>
      <c r="CR43" s="120">
        <f t="shared" si="215"/>
        <v>0</v>
      </c>
      <c r="CS43" s="66">
        <f>IF($L43="TER A",VLOOKUP(CO43,TER!$A$5:$D$48,4,TRUE),IF($L43="TER B",VLOOKUP(CO43,TER!$F$5:$I$44,4,TRUE),IF($L43="TER C",VLOOKUP(CO43,TER!$K$5:$N$45,4,TRUE),0)))</f>
        <v>0</v>
      </c>
      <c r="CT43" s="98">
        <f t="shared" si="216"/>
        <v>0</v>
      </c>
    </row>
    <row r="44" spans="1:98" ht="15.5" thickTop="1" thickBot="1" x14ac:dyDescent="0.4">
      <c r="A44" s="52">
        <f t="shared" si="0"/>
        <v>38</v>
      </c>
      <c r="B44" s="69"/>
      <c r="C44" s="70"/>
      <c r="D44" s="55"/>
      <c r="E44" s="55"/>
      <c r="F44" s="56"/>
      <c r="G44" s="57"/>
      <c r="H44" s="58"/>
      <c r="I44" s="54"/>
      <c r="J44" s="59"/>
      <c r="K44" s="272">
        <f>'Data Gaji'!K44</f>
        <v>0</v>
      </c>
      <c r="L44" s="67" t="str">
        <f>IF(ISNA(VLOOKUP(K44,'PTKP &amp; TARIF'!$D$4:$E$11,2,0)),"",VLOOKUP(K44,'PTKP &amp; TARIF'!$D$4:$E$11,2,0))</f>
        <v/>
      </c>
      <c r="M44" s="9"/>
      <c r="N44" s="9"/>
      <c r="O44" s="115" t="s">
        <v>92</v>
      </c>
      <c r="P44" s="118">
        <f>'Data Gaji'!AL44</f>
        <v>0</v>
      </c>
      <c r="Q44" s="66">
        <f>IF($L44="TER A",VLOOKUP(P44,TER!$A$5:$D$48,4,TRUE),IF($L44="TER B",VLOOKUP(P44,TER!$F$5:$I$44,4,TRUE),IF($L44="TER C",VLOOKUP(P44,TER!$K$5:$N$45,4,TRUE),0)))</f>
        <v>0</v>
      </c>
      <c r="R44" s="61">
        <f t="shared" si="109"/>
        <v>0</v>
      </c>
      <c r="S44" s="120">
        <f t="shared" si="110"/>
        <v>0</v>
      </c>
      <c r="T44" s="66">
        <f>IF($L44="TER A",VLOOKUP(P44,TER!$A$5:$D$48,4,TRUE),IF($L44="TER B",VLOOKUP(P44,TER!$F$5:$I$44,4,TRUE),IF($L44="TER C",VLOOKUP(P44,TER!$K$5:$N$45,4,TRUE),0)))</f>
        <v>0</v>
      </c>
      <c r="U44" s="274">
        <f t="shared" si="111"/>
        <v>0</v>
      </c>
      <c r="W44" s="118">
        <f>'Data Gaji'!BL44</f>
        <v>0</v>
      </c>
      <c r="X44" s="66">
        <f>IF($L44="TER A",VLOOKUP(W44,TER!$A$5:$D$48,4,TRUE),IF($L44="TER B",VLOOKUP(W44,TER!$F$5:$I$44,4,TRUE),IF($L44="TER C",VLOOKUP(W44,TER!$K$5:$N$45,4,TRUE),0)))</f>
        <v>0</v>
      </c>
      <c r="Y44" s="119">
        <f t="shared" si="112"/>
        <v>0</v>
      </c>
      <c r="Z44" s="120">
        <f t="shared" si="113"/>
        <v>0</v>
      </c>
      <c r="AA44" s="66">
        <f>IF($L44="TER A",VLOOKUP(W44,TER!$A$5:$D$48,4,TRUE),IF($L44="TER B",VLOOKUP(W44,TER!$F$5:$I$44,4,TRUE),IF($L44="TER C",VLOOKUP(W44,TER!$K$5:$N$45,4,TRUE),0)))</f>
        <v>0</v>
      </c>
      <c r="AB44" s="98">
        <f t="shared" si="114"/>
        <v>0</v>
      </c>
      <c r="AD44" s="118">
        <f>'Data Gaji'!CL43</f>
        <v>0</v>
      </c>
      <c r="AE44" s="66">
        <f>IF($L44="TER A",VLOOKUP(AD44,TER!$A$5:$D$48,4,TRUE),IF($L44="TER B",VLOOKUP(AD44,TER!$F$5:$I$44,4,TRUE),IF($L44="TER C",VLOOKUP(AD44,TER!$K$5:$N$45,4,TRUE),0)))</f>
        <v>0</v>
      </c>
      <c r="AF44" s="119">
        <f t="shared" si="115"/>
        <v>0</v>
      </c>
      <c r="AG44" s="120">
        <f t="shared" si="116"/>
        <v>0</v>
      </c>
      <c r="AH44" s="66">
        <f>IF($L44="TER A",VLOOKUP(AD44,TER!$A$5:$D$48,4,TRUE),IF($L44="TER B",VLOOKUP(AD44,TER!$F$5:$I$44,4,TRUE),IF($L44="TER C",VLOOKUP(AD44,TER!$K$5:$N$45,4,TRUE),0)))</f>
        <v>0</v>
      </c>
      <c r="AI44" s="98">
        <f t="shared" si="117"/>
        <v>0</v>
      </c>
      <c r="AK44" s="118">
        <f>'Data Gaji'!DL44</f>
        <v>0</v>
      </c>
      <c r="AL44" s="66">
        <f>IF($L44="TER A",VLOOKUP(AK44,TER!$A$5:$D$48,4,TRUE),IF($L44="TER B",VLOOKUP(AK44,TER!$F$5:$I$44,4,TRUE),IF($L44="TER C",VLOOKUP(AK44,TER!$K$5:$N$45,4,TRUE),0)))</f>
        <v>0</v>
      </c>
      <c r="AM44" s="119">
        <f t="shared" si="118"/>
        <v>0</v>
      </c>
      <c r="AN44" s="120">
        <f t="shared" si="119"/>
        <v>0</v>
      </c>
      <c r="AO44" s="66">
        <f>IF($L44="TER A",VLOOKUP(AK44,TER!$A$5:$D$48,4,TRUE),IF($L44="TER B",VLOOKUP(AK44,TER!$F$5:$I$44,4,TRUE),IF($L44="TER C",VLOOKUP(AK44,TER!$K$5:$N$45,4,TRUE),0)))</f>
        <v>0</v>
      </c>
      <c r="AP44" s="98">
        <f t="shared" si="120"/>
        <v>0</v>
      </c>
      <c r="AR44" s="118">
        <f>'Data Gaji'!EL44</f>
        <v>0</v>
      </c>
      <c r="AS44" s="66">
        <f>IF($L44="TER A",VLOOKUP(AR44,TER!$A$5:$D$48,4,TRUE),IF($L44="TER B",VLOOKUP(AR44,TER!$F$5:$I$44,4,TRUE),IF($L44="TER C",VLOOKUP(AR44,TER!$K$5:$N$45,4,TRUE),0)))</f>
        <v>0</v>
      </c>
      <c r="AT44" s="119">
        <f t="shared" si="121"/>
        <v>0</v>
      </c>
      <c r="AU44" s="120">
        <f t="shared" si="122"/>
        <v>0</v>
      </c>
      <c r="AV44" s="66">
        <f>IF($L44="TER A",VLOOKUP(AR44,TER!$A$5:$D$48,4,TRUE),IF($L44="TER B",VLOOKUP(AR44,TER!$F$5:$I$44,4,TRUE),IF($L44="TER C",VLOOKUP(AR44,TER!$K$5:$N$45,4,TRUE),0)))</f>
        <v>0</v>
      </c>
      <c r="AW44" s="98">
        <f t="shared" si="123"/>
        <v>0</v>
      </c>
      <c r="AY44" s="118">
        <f>'Data Gaji'!FL44</f>
        <v>0</v>
      </c>
      <c r="AZ44" s="66">
        <f>IF($L44="TER A",VLOOKUP(AY44,TER!$A$5:$D$48,4,TRUE),IF($L44="TER B",VLOOKUP(AY44,TER!$F$5:$I$44,4,TRUE),IF($L44="TER C",VLOOKUP(AY44,TER!$K$5:$N$45,4,TRUE),0)))</f>
        <v>0</v>
      </c>
      <c r="BA44" s="119">
        <f t="shared" si="124"/>
        <v>0</v>
      </c>
      <c r="BB44" s="120">
        <f t="shared" si="125"/>
        <v>0</v>
      </c>
      <c r="BC44" s="66">
        <f>IF($L44="TER A",VLOOKUP(AY44,TER!$A$5:$D$48,4,TRUE),IF($L44="TER B",VLOOKUP(AY44,TER!$F$5:$I$44,4,TRUE),IF($L44="TER C",VLOOKUP(AY44,TER!$K$5:$N$45,4,TRUE),0)))</f>
        <v>0</v>
      </c>
      <c r="BD44" s="98">
        <f t="shared" si="126"/>
        <v>0</v>
      </c>
      <c r="BF44" s="118">
        <f>'Data Gaji'!GL44</f>
        <v>0</v>
      </c>
      <c r="BG44" s="66">
        <f>IF($L44="TER A",VLOOKUP(BF44,TER!$A$5:$D$48,4,TRUE),IF($L44="TER B",VLOOKUP(BF44,TER!$F$5:$I$44,4,TRUE),IF($L44="TER C",VLOOKUP(BF44,TER!$K$5:$N$45,4,TRUE),0)))</f>
        <v>0</v>
      </c>
      <c r="BH44" s="119">
        <f t="shared" si="127"/>
        <v>0</v>
      </c>
      <c r="BI44" s="120">
        <f t="shared" si="128"/>
        <v>0</v>
      </c>
      <c r="BJ44" s="66">
        <f>IF($L44="TER A",VLOOKUP(BF44,TER!$A$5:$D$48,4,TRUE),IF($L44="TER B",VLOOKUP(BF44,TER!$F$5:$I$44,4,TRUE),IF($L44="TER C",VLOOKUP(BF44,TER!$K$5:$N$45,4,TRUE),0)))</f>
        <v>0</v>
      </c>
      <c r="BK44" s="98">
        <f t="shared" si="129"/>
        <v>0</v>
      </c>
      <c r="BM44" s="118">
        <f>'Data Gaji'!HL44</f>
        <v>0</v>
      </c>
      <c r="BN44" s="66">
        <f>IF($L44="TER A",VLOOKUP(BM44,TER!$A$5:$D$48,4,TRUE),IF($L44="TER B",VLOOKUP(BM44,TER!$F$5:$I$44,4,TRUE),IF($L44="TER C",VLOOKUP(BM44,TER!$K$5:$N$45,4,TRUE),0)))</f>
        <v>0</v>
      </c>
      <c r="BO44" s="119">
        <f t="shared" si="130"/>
        <v>0</v>
      </c>
      <c r="BP44" s="120">
        <f t="shared" si="131"/>
        <v>0</v>
      </c>
      <c r="BQ44" s="66">
        <f>IF($L44="TER A",VLOOKUP(BM44,TER!$A$5:$D$48,4,TRUE),IF($L44="TER B",VLOOKUP(BM44,TER!$F$5:$I$44,4,TRUE),IF($L44="TER C",VLOOKUP(BM44,TER!$K$5:$N$45,4,TRUE),0)))</f>
        <v>0</v>
      </c>
      <c r="BR44" s="98">
        <f t="shared" si="132"/>
        <v>0</v>
      </c>
      <c r="BT44" s="118">
        <f>'Data Gaji'!IL44</f>
        <v>0</v>
      </c>
      <c r="BU44" s="66">
        <f>IF($L44="TER A",VLOOKUP(BT44,TER!$A$5:$D$48,4,TRUE),IF($L44="TER B",VLOOKUP(BT44,TER!$F$5:$I$44,4,TRUE),IF($L44="TER C",VLOOKUP(BT44,TER!$K$5:$N$45,4,TRUE),0)))</f>
        <v>0</v>
      </c>
      <c r="BV44" s="119">
        <f t="shared" si="133"/>
        <v>0</v>
      </c>
      <c r="BW44" s="120">
        <f t="shared" si="134"/>
        <v>0</v>
      </c>
      <c r="BX44" s="66">
        <f>IF($L44="TER A",VLOOKUP(BT44,TER!$A$5:$D$48,4,TRUE),IF($L44="TER B",VLOOKUP(BT44,TER!$F$5:$I$44,4,TRUE),IF($L44="TER C",VLOOKUP(BT44,TER!$K$5:$N$45,4,TRUE),0)))</f>
        <v>0</v>
      </c>
      <c r="BY44" s="98">
        <f t="shared" si="135"/>
        <v>0</v>
      </c>
      <c r="CA44" s="118">
        <f>'Data Gaji'!JL44</f>
        <v>0</v>
      </c>
      <c r="CB44" s="66">
        <f>IF($L44="TER A",VLOOKUP(CA44,TER!$A$5:$D$48,4,TRUE),IF($L44="TER B",VLOOKUP(CA44,TER!$F$5:$I$44,4,TRUE),IF($L44="TER C",VLOOKUP(CA44,TER!$K$5:$N$45,4,TRUE),0)))</f>
        <v>0</v>
      </c>
      <c r="CC44" s="119">
        <f t="shared" si="136"/>
        <v>0</v>
      </c>
      <c r="CD44" s="120">
        <f t="shared" si="137"/>
        <v>0</v>
      </c>
      <c r="CE44" s="66">
        <f>IF($L44="TER A",VLOOKUP(CA44,TER!$A$5:$D$48,4,TRUE),IF($L44="TER B",VLOOKUP(CA44,TER!$F$5:$I$44,4,TRUE),IF($L44="TER C",VLOOKUP(CA44,TER!$K$5:$N$45,4,TRUE),0)))</f>
        <v>0</v>
      </c>
      <c r="CF44" s="98">
        <f t="shared" si="138"/>
        <v>0</v>
      </c>
      <c r="CH44" s="118">
        <f>'Data Gaji'!KL44</f>
        <v>0</v>
      </c>
      <c r="CI44" s="66">
        <f>IF($L44="TER A",VLOOKUP(CH44,TER!$A$5:$D$48,4,TRUE),IF($L44="TER B",VLOOKUP(CH44,TER!$F$5:$I$44,4,TRUE),IF($L44="TER C",VLOOKUP(CH44,TER!$K$5:$N$45,4,TRUE),0)))</f>
        <v>0</v>
      </c>
      <c r="CJ44" s="119">
        <f t="shared" si="139"/>
        <v>0</v>
      </c>
      <c r="CK44" s="120">
        <f t="shared" si="140"/>
        <v>0</v>
      </c>
      <c r="CL44" s="66">
        <f>IF($L44="TER A",VLOOKUP(CH44,TER!$A$5:$D$48,4,TRUE),IF($L44="TER B",VLOOKUP(CH44,TER!$F$5:$I$44,4,TRUE),IF($L44="TER C",VLOOKUP(CH44,TER!$K$5:$N$45,4,TRUE),0)))</f>
        <v>0</v>
      </c>
      <c r="CM44" s="98">
        <f t="shared" si="141"/>
        <v>0</v>
      </c>
      <c r="CO44" s="118">
        <f>'Data Gaji'!LL44</f>
        <v>0</v>
      </c>
      <c r="CP44" s="66">
        <f>IF($L44="TER A",VLOOKUP(CO44,TER!$A$5:$D$48,4,TRUE),IF($L44="TER B",VLOOKUP(CO44,TER!$F$5:$I$44,4,TRUE),IF($L44="TER C",VLOOKUP(CO44,TER!$K$5:$N$45,4,TRUE),0)))</f>
        <v>0</v>
      </c>
      <c r="CQ44" s="119">
        <f t="shared" si="142"/>
        <v>0</v>
      </c>
      <c r="CR44" s="120">
        <f t="shared" si="143"/>
        <v>0</v>
      </c>
      <c r="CS44" s="66">
        <f>IF($L44="TER A",VLOOKUP(CO44,TER!$A$5:$D$48,4,TRUE),IF($L44="TER B",VLOOKUP(CO44,TER!$F$5:$I$44,4,TRUE),IF($L44="TER C",VLOOKUP(CO44,TER!$K$5:$N$45,4,TRUE),0)))</f>
        <v>0</v>
      </c>
      <c r="CT44" s="98">
        <f t="shared" si="144"/>
        <v>0</v>
      </c>
    </row>
    <row r="45" spans="1:98" ht="15.5" thickTop="1" thickBot="1" x14ac:dyDescent="0.4">
      <c r="A45" s="52">
        <f t="shared" si="0"/>
        <v>39</v>
      </c>
      <c r="B45" s="69"/>
      <c r="C45" s="70"/>
      <c r="D45" s="55"/>
      <c r="E45" s="55"/>
      <c r="F45" s="56"/>
      <c r="G45" s="57"/>
      <c r="H45" s="58"/>
      <c r="I45" s="54"/>
      <c r="J45" s="59"/>
      <c r="K45" s="272">
        <f>'Data Gaji'!K45</f>
        <v>0</v>
      </c>
      <c r="L45" s="67" t="str">
        <f>IF(ISNA(VLOOKUP(K45,'PTKP &amp; TARIF'!$D$4:$E$11,2,0)),"",VLOOKUP(K45,'PTKP &amp; TARIF'!$D$4:$E$11,2,0))</f>
        <v/>
      </c>
      <c r="M45" s="9"/>
      <c r="N45" s="9"/>
      <c r="O45" s="115" t="s">
        <v>92</v>
      </c>
      <c r="P45" s="118">
        <f>'Data Gaji'!AL45</f>
        <v>0</v>
      </c>
      <c r="Q45" s="66">
        <f>IF($L45="TER A",VLOOKUP(P45,TER!$A$5:$D$48,4,TRUE),IF($L45="TER B",VLOOKUP(P45,TER!$F$5:$I$44,4,TRUE),IF($L45="TER C",VLOOKUP(P45,TER!$K$5:$N$45,4,TRUE),0)))</f>
        <v>0</v>
      </c>
      <c r="R45" s="61">
        <f t="shared" si="1"/>
        <v>0</v>
      </c>
      <c r="S45" s="120">
        <f t="shared" si="2"/>
        <v>0</v>
      </c>
      <c r="T45" s="66">
        <f>IF($L45="TER A",VLOOKUP(P45,TER!$A$5:$D$48,4,TRUE),IF($L45="TER B",VLOOKUP(P45,TER!$F$5:$I$44,4,TRUE),IF($L45="TER C",VLOOKUP(P45,TER!$K$5:$N$45,4,TRUE),0)))</f>
        <v>0</v>
      </c>
      <c r="U45" s="274">
        <f t="shared" si="3"/>
        <v>0</v>
      </c>
      <c r="W45" s="118">
        <f>'Data Gaji'!BL45</f>
        <v>0</v>
      </c>
      <c r="X45" s="66">
        <f>IF($L45="TER A",VLOOKUP(W45,TER!$A$5:$D$48,4,TRUE),IF($L45="TER B",VLOOKUP(W45,TER!$F$5:$I$44,4,TRUE),IF($L45="TER C",VLOOKUP(W45,TER!$K$5:$N$45,4,TRUE),0)))</f>
        <v>0</v>
      </c>
      <c r="Y45" s="119">
        <f t="shared" si="4"/>
        <v>0</v>
      </c>
      <c r="Z45" s="120">
        <f t="shared" si="5"/>
        <v>0</v>
      </c>
      <c r="AA45" s="66">
        <f>IF($L45="TER A",VLOOKUP(W45,TER!$A$5:$D$48,4,TRUE),IF($L45="TER B",VLOOKUP(W45,TER!$F$5:$I$44,4,TRUE),IF($L45="TER C",VLOOKUP(W45,TER!$K$5:$N$45,4,TRUE),0)))</f>
        <v>0</v>
      </c>
      <c r="AB45" s="98">
        <f t="shared" si="6"/>
        <v>0</v>
      </c>
      <c r="AD45" s="118"/>
      <c r="AE45" s="66">
        <f>IF($L45="TER A",VLOOKUP(AD45,TER!$A$5:$D$48,4,TRUE),IF($L45="TER B",VLOOKUP(AD45,TER!$F$5:$I$44,4,TRUE),IF($L45="TER C",VLOOKUP(AD45,TER!$K$5:$N$45,4,TRUE),0)))</f>
        <v>0</v>
      </c>
      <c r="AF45" s="119">
        <f t="shared" si="7"/>
        <v>0</v>
      </c>
      <c r="AG45" s="120">
        <f t="shared" si="8"/>
        <v>0</v>
      </c>
      <c r="AH45" s="66">
        <f>IF($L45="TER A",VLOOKUP(AD45,TER!$A$5:$D$48,4,TRUE),IF($L45="TER B",VLOOKUP(AD45,TER!$F$5:$I$44,4,TRUE),IF($L45="TER C",VLOOKUP(AD45,TER!$K$5:$N$45,4,TRUE),0)))</f>
        <v>0</v>
      </c>
      <c r="AI45" s="98">
        <f t="shared" si="9"/>
        <v>0</v>
      </c>
      <c r="AK45" s="118">
        <f>'Data Gaji'!DL45</f>
        <v>0</v>
      </c>
      <c r="AL45" s="66">
        <f>IF($L45="TER A",VLOOKUP(AK45,TER!$A$5:$D$48,4,TRUE),IF($L45="TER B",VLOOKUP(AK45,TER!$F$5:$I$44,4,TRUE),IF($L45="TER C",VLOOKUP(AK45,TER!$K$5:$N$45,4,TRUE),0)))</f>
        <v>0</v>
      </c>
      <c r="AM45" s="119">
        <f t="shared" si="10"/>
        <v>0</v>
      </c>
      <c r="AN45" s="120">
        <f t="shared" si="11"/>
        <v>0</v>
      </c>
      <c r="AO45" s="66">
        <f>IF($L45="TER A",VLOOKUP(AK45,TER!$A$5:$D$48,4,TRUE),IF($L45="TER B",VLOOKUP(AK45,TER!$F$5:$I$44,4,TRUE),IF($L45="TER C",VLOOKUP(AK45,TER!$K$5:$N$45,4,TRUE),0)))</f>
        <v>0</v>
      </c>
      <c r="AP45" s="98">
        <f t="shared" si="12"/>
        <v>0</v>
      </c>
      <c r="AR45" s="118">
        <f>'Data Gaji'!EL45</f>
        <v>0</v>
      </c>
      <c r="AS45" s="66">
        <f>IF($L45="TER A",VLOOKUP(AR45,TER!$A$5:$D$48,4,TRUE),IF($L45="TER B",VLOOKUP(AR45,TER!$F$5:$I$44,4,TRUE),IF($L45="TER C",VLOOKUP(AR45,TER!$K$5:$N$45,4,TRUE),0)))</f>
        <v>0</v>
      </c>
      <c r="AT45" s="119">
        <f t="shared" si="13"/>
        <v>0</v>
      </c>
      <c r="AU45" s="120">
        <f t="shared" si="14"/>
        <v>0</v>
      </c>
      <c r="AV45" s="66">
        <f>IF($L45="TER A",VLOOKUP(AR45,TER!$A$5:$D$48,4,TRUE),IF($L45="TER B",VLOOKUP(AR45,TER!$F$5:$I$44,4,TRUE),IF($L45="TER C",VLOOKUP(AR45,TER!$K$5:$N$45,4,TRUE),0)))</f>
        <v>0</v>
      </c>
      <c r="AW45" s="98">
        <f t="shared" si="15"/>
        <v>0</v>
      </c>
      <c r="AY45" s="118">
        <f>'Data Gaji'!FL45</f>
        <v>0</v>
      </c>
      <c r="AZ45" s="66">
        <f>IF($L45="TER A",VLOOKUP(AY45,TER!$A$5:$D$48,4,TRUE),IF($L45="TER B",VLOOKUP(AY45,TER!$F$5:$I$44,4,TRUE),IF($L45="TER C",VLOOKUP(AY45,TER!$K$5:$N$45,4,TRUE),0)))</f>
        <v>0</v>
      </c>
      <c r="BA45" s="119">
        <f t="shared" si="16"/>
        <v>0</v>
      </c>
      <c r="BB45" s="120">
        <f t="shared" si="17"/>
        <v>0</v>
      </c>
      <c r="BC45" s="66">
        <f>IF($L45="TER A",VLOOKUP(AY45,TER!$A$5:$D$48,4,TRUE),IF($L45="TER B",VLOOKUP(AY45,TER!$F$5:$I$44,4,TRUE),IF($L45="TER C",VLOOKUP(AY45,TER!$K$5:$N$45,4,TRUE),0)))</f>
        <v>0</v>
      </c>
      <c r="BD45" s="98">
        <f t="shared" si="18"/>
        <v>0</v>
      </c>
      <c r="BF45" s="118">
        <f>'Data Gaji'!GL45</f>
        <v>0</v>
      </c>
      <c r="BG45" s="66">
        <f>IF($L45="TER A",VLOOKUP(BF45,TER!$A$5:$D$48,4,TRUE),IF($L45="TER B",VLOOKUP(BF45,TER!$F$5:$I$44,4,TRUE),IF($L45="TER C",VLOOKUP(BF45,TER!$K$5:$N$45,4,TRUE),0)))</f>
        <v>0</v>
      </c>
      <c r="BH45" s="119">
        <f t="shared" si="19"/>
        <v>0</v>
      </c>
      <c r="BI45" s="120">
        <f t="shared" si="20"/>
        <v>0</v>
      </c>
      <c r="BJ45" s="66">
        <f>IF($L45="TER A",VLOOKUP(BF45,TER!$A$5:$D$48,4,TRUE),IF($L45="TER B",VLOOKUP(BF45,TER!$F$5:$I$44,4,TRUE),IF($L45="TER C",VLOOKUP(BF45,TER!$K$5:$N$45,4,TRUE),0)))</f>
        <v>0</v>
      </c>
      <c r="BK45" s="98">
        <f t="shared" si="21"/>
        <v>0</v>
      </c>
      <c r="BM45" s="118">
        <f>'Data Gaji'!HL45</f>
        <v>0</v>
      </c>
      <c r="BN45" s="66">
        <f>IF($L45="TER A",VLOOKUP(BM45,TER!$A$5:$D$48,4,TRUE),IF($L45="TER B",VLOOKUP(BM45,TER!$F$5:$I$44,4,TRUE),IF($L45="TER C",VLOOKUP(BM45,TER!$K$5:$N$45,4,TRUE),0)))</f>
        <v>0</v>
      </c>
      <c r="BO45" s="119">
        <f t="shared" si="22"/>
        <v>0</v>
      </c>
      <c r="BP45" s="120">
        <f t="shared" si="23"/>
        <v>0</v>
      </c>
      <c r="BQ45" s="66">
        <f>IF($L45="TER A",VLOOKUP(BM45,TER!$A$5:$D$48,4,TRUE),IF($L45="TER B",VLOOKUP(BM45,TER!$F$5:$I$44,4,TRUE),IF($L45="TER C",VLOOKUP(BM45,TER!$K$5:$N$45,4,TRUE),0)))</f>
        <v>0</v>
      </c>
      <c r="BR45" s="98">
        <f t="shared" si="24"/>
        <v>0</v>
      </c>
      <c r="BT45" s="118">
        <f>'Data Gaji'!IL45</f>
        <v>0</v>
      </c>
      <c r="BU45" s="66">
        <f>IF($L45="TER A",VLOOKUP(BT45,TER!$A$5:$D$48,4,TRUE),IF($L45="TER B",VLOOKUP(BT45,TER!$F$5:$I$44,4,TRUE),IF($L45="TER C",VLOOKUP(BT45,TER!$K$5:$N$45,4,TRUE),0)))</f>
        <v>0</v>
      </c>
      <c r="BV45" s="119">
        <f t="shared" si="25"/>
        <v>0</v>
      </c>
      <c r="BW45" s="120">
        <f t="shared" si="26"/>
        <v>0</v>
      </c>
      <c r="BX45" s="66">
        <f>IF($L45="TER A",VLOOKUP(BT45,TER!$A$5:$D$48,4,TRUE),IF($L45="TER B",VLOOKUP(BT45,TER!$F$5:$I$44,4,TRUE),IF($L45="TER C",VLOOKUP(BT45,TER!$K$5:$N$45,4,TRUE),0)))</f>
        <v>0</v>
      </c>
      <c r="BY45" s="98">
        <f t="shared" si="27"/>
        <v>0</v>
      </c>
      <c r="CA45" s="118">
        <f>'Data Gaji'!JL45</f>
        <v>0</v>
      </c>
      <c r="CB45" s="66">
        <f>IF($L45="TER A",VLOOKUP(CA45,TER!$A$5:$D$48,4,TRUE),IF($L45="TER B",VLOOKUP(CA45,TER!$F$5:$I$44,4,TRUE),IF($L45="TER C",VLOOKUP(CA45,TER!$K$5:$N$45,4,TRUE),0)))</f>
        <v>0</v>
      </c>
      <c r="CC45" s="119">
        <f t="shared" si="28"/>
        <v>0</v>
      </c>
      <c r="CD45" s="120">
        <f t="shared" si="29"/>
        <v>0</v>
      </c>
      <c r="CE45" s="66">
        <f>IF($L45="TER A",VLOOKUP(CA45,TER!$A$5:$D$48,4,TRUE),IF($L45="TER B",VLOOKUP(CA45,TER!$F$5:$I$44,4,TRUE),IF($L45="TER C",VLOOKUP(CA45,TER!$K$5:$N$45,4,TRUE),0)))</f>
        <v>0</v>
      </c>
      <c r="CF45" s="98">
        <f t="shared" si="30"/>
        <v>0</v>
      </c>
      <c r="CH45" s="118">
        <f>'Data Gaji'!KL45</f>
        <v>0</v>
      </c>
      <c r="CI45" s="66">
        <f>IF($L45="TER A",VLOOKUP(CH45,TER!$A$5:$D$48,4,TRUE),IF($L45="TER B",VLOOKUP(CH45,TER!$F$5:$I$44,4,TRUE),IF($L45="TER C",VLOOKUP(CH45,TER!$K$5:$N$45,4,TRUE),0)))</f>
        <v>0</v>
      </c>
      <c r="CJ45" s="119">
        <f t="shared" si="31"/>
        <v>0</v>
      </c>
      <c r="CK45" s="120">
        <f t="shared" si="32"/>
        <v>0</v>
      </c>
      <c r="CL45" s="66">
        <f>IF($L45="TER A",VLOOKUP(CH45,TER!$A$5:$D$48,4,TRUE),IF($L45="TER B",VLOOKUP(CH45,TER!$F$5:$I$44,4,TRUE),IF($L45="TER C",VLOOKUP(CH45,TER!$K$5:$N$45,4,TRUE),0)))</f>
        <v>0</v>
      </c>
      <c r="CM45" s="98">
        <f t="shared" si="33"/>
        <v>0</v>
      </c>
      <c r="CO45" s="118">
        <f>'Data Gaji'!LL45</f>
        <v>0</v>
      </c>
      <c r="CP45" s="66">
        <f>IF($L45="TER A",VLOOKUP(CO45,TER!$A$5:$D$48,4,TRUE),IF($L45="TER B",VLOOKUP(CO45,TER!$F$5:$I$44,4,TRUE),IF($L45="TER C",VLOOKUP(CO45,TER!$K$5:$N$45,4,TRUE),0)))</f>
        <v>0</v>
      </c>
      <c r="CQ45" s="119">
        <f t="shared" si="34"/>
        <v>0</v>
      </c>
      <c r="CR45" s="120">
        <f t="shared" si="35"/>
        <v>0</v>
      </c>
      <c r="CS45" s="66">
        <f>IF($L45="TER A",VLOOKUP(CO45,TER!$A$5:$D$48,4,TRUE),IF($L45="TER B",VLOOKUP(CO45,TER!$F$5:$I$44,4,TRUE),IF($L45="TER C",VLOOKUP(CO45,TER!$K$5:$N$45,4,TRUE),0)))</f>
        <v>0</v>
      </c>
      <c r="CT45" s="98">
        <f t="shared" si="36"/>
        <v>0</v>
      </c>
    </row>
    <row r="46" spans="1:98" s="112" customFormat="1" ht="29.5" thickTop="1" thickBot="1" x14ac:dyDescent="0.4">
      <c r="A46" s="100"/>
      <c r="B46" s="101"/>
      <c r="C46" s="102"/>
      <c r="D46" s="103"/>
      <c r="E46" s="103"/>
      <c r="F46" s="104"/>
      <c r="G46" s="105"/>
      <c r="H46" s="106"/>
      <c r="I46" s="102"/>
      <c r="J46" s="107"/>
      <c r="K46" s="108"/>
      <c r="L46" s="109"/>
      <c r="M46" s="91"/>
      <c r="N46" s="91"/>
      <c r="O46" s="110"/>
      <c r="P46" s="91">
        <f>SUM(P7:P45)</f>
        <v>0</v>
      </c>
      <c r="Q46" s="91"/>
      <c r="R46" s="91">
        <f>SUM(R7:R45)</f>
        <v>0</v>
      </c>
      <c r="S46" s="91">
        <f>SUM(S7:S45)</f>
        <v>0</v>
      </c>
      <c r="T46" s="202"/>
      <c r="U46" s="275">
        <f>SUM(U7:U45)</f>
        <v>0</v>
      </c>
      <c r="W46" s="91">
        <f>SUM(W7:W45)</f>
        <v>0</v>
      </c>
      <c r="X46" s="91"/>
      <c r="Y46" s="91">
        <f>SUM(Y7:Y45)</f>
        <v>0</v>
      </c>
      <c r="Z46" s="91">
        <f>SUM(Z7:Z45)</f>
        <v>0</v>
      </c>
      <c r="AA46" s="91"/>
      <c r="AB46" s="288">
        <f>SUM(AB7:AB45)</f>
        <v>0</v>
      </c>
      <c r="AD46" s="91">
        <f>SUM(AD7:AD45)</f>
        <v>0</v>
      </c>
      <c r="AE46" s="91"/>
      <c r="AF46" s="91">
        <f>SUM(AF7:AF45)</f>
        <v>0</v>
      </c>
      <c r="AG46" s="91">
        <f>SUM(AG7:AG45)</f>
        <v>0</v>
      </c>
      <c r="AH46" s="91"/>
      <c r="AI46" s="113">
        <f>SUM(AI7:AI45)</f>
        <v>0</v>
      </c>
      <c r="AK46" s="91">
        <f>SUM(AK7:AK45)</f>
        <v>0</v>
      </c>
      <c r="AL46" s="91"/>
      <c r="AM46" s="91">
        <f>SUM(AM7:AM45)</f>
        <v>0</v>
      </c>
      <c r="AN46" s="91">
        <f>SUM(AN7:AN45)</f>
        <v>0</v>
      </c>
      <c r="AO46" s="91"/>
      <c r="AP46" s="113">
        <f>SUM(AP7:AP45)</f>
        <v>0</v>
      </c>
      <c r="AR46" s="91">
        <f>SUM(AR7:AR45)</f>
        <v>0</v>
      </c>
      <c r="AS46" s="91"/>
      <c r="AT46" s="91">
        <f>SUM(AT7:AT45)</f>
        <v>0</v>
      </c>
      <c r="AU46" s="91">
        <f>SUM(AU7:AU45)</f>
        <v>0</v>
      </c>
      <c r="AV46" s="91"/>
      <c r="AW46" s="113">
        <f>SUM(AW7:AW45)</f>
        <v>0</v>
      </c>
      <c r="AY46" s="91">
        <f>SUM(AY7:AY45)</f>
        <v>0</v>
      </c>
      <c r="AZ46" s="91"/>
      <c r="BA46" s="91">
        <f>SUM(BA7:BA45)</f>
        <v>0</v>
      </c>
      <c r="BB46" s="91">
        <f>SUM(BB7:BB45)</f>
        <v>0</v>
      </c>
      <c r="BC46" s="91"/>
      <c r="BD46" s="113">
        <f>SUM(BD7:BD45)</f>
        <v>0</v>
      </c>
      <c r="BF46" s="91">
        <f>SUM(BF7:BF45)</f>
        <v>0</v>
      </c>
      <c r="BG46" s="91"/>
      <c r="BH46" s="91">
        <f>SUM(BH7:BH45)</f>
        <v>0</v>
      </c>
      <c r="BI46" s="91">
        <f>SUM(BI7:BI45)</f>
        <v>0</v>
      </c>
      <c r="BJ46" s="91"/>
      <c r="BK46" s="113">
        <f>SUM(BK7:BK45)</f>
        <v>0</v>
      </c>
      <c r="BM46" s="91">
        <f>SUM(BM7:BM45)</f>
        <v>0</v>
      </c>
      <c r="BN46" s="91"/>
      <c r="BO46" s="91">
        <f>SUM(BO7:BO45)</f>
        <v>0</v>
      </c>
      <c r="BP46" s="91">
        <f>SUM(BP7:BP45)</f>
        <v>0</v>
      </c>
      <c r="BQ46" s="91"/>
      <c r="BR46" s="113">
        <f>SUM(BR7:BR45)</f>
        <v>0</v>
      </c>
      <c r="BT46" s="91">
        <f>SUM(BT7:BT45)</f>
        <v>0</v>
      </c>
      <c r="BU46" s="91"/>
      <c r="BV46" s="91">
        <f>SUM(BV7:BV45)</f>
        <v>0</v>
      </c>
      <c r="BW46" s="91">
        <f>SUM(BW7:BW45)</f>
        <v>0</v>
      </c>
      <c r="BX46" s="91"/>
      <c r="BY46" s="113">
        <f>SUM(BY7:BY45)</f>
        <v>0</v>
      </c>
      <c r="CA46" s="91">
        <f>SUM(CA7:CA45)</f>
        <v>0</v>
      </c>
      <c r="CB46" s="91"/>
      <c r="CC46" s="91">
        <f>SUM(CC7:CC45)</f>
        <v>0</v>
      </c>
      <c r="CD46" s="91">
        <f>SUM(CD7:CD45)</f>
        <v>0</v>
      </c>
      <c r="CE46" s="91"/>
      <c r="CF46" s="113">
        <f>SUM(CF7:CF45)</f>
        <v>0</v>
      </c>
      <c r="CH46" s="91">
        <f>SUM(CH7:CH45)</f>
        <v>0</v>
      </c>
      <c r="CI46" s="91"/>
      <c r="CJ46" s="91">
        <f>SUM(CJ7:CJ45)</f>
        <v>0</v>
      </c>
      <c r="CK46" s="91">
        <f>SUM(CK7:CK45)</f>
        <v>0</v>
      </c>
      <c r="CL46" s="91"/>
      <c r="CM46" s="113">
        <f>SUM(CM7:CM45)</f>
        <v>0</v>
      </c>
      <c r="CO46" s="91">
        <f>SUM(CO7:CO45)</f>
        <v>0</v>
      </c>
      <c r="CP46" s="91"/>
      <c r="CQ46" s="91">
        <f>SUM(CQ7:CQ45)</f>
        <v>0</v>
      </c>
      <c r="CR46" s="91">
        <f>SUM(CR7:CR45)</f>
        <v>0</v>
      </c>
      <c r="CS46" s="91"/>
      <c r="CT46" s="113">
        <f t="shared" ref="CT46" si="217">SUM(CT7:CT45)</f>
        <v>0</v>
      </c>
    </row>
    <row r="47" spans="1:98" ht="15" thickTop="1" x14ac:dyDescent="0.35">
      <c r="U47" s="190">
        <f>U46-U27</f>
        <v>0</v>
      </c>
      <c r="AB47" s="35" t="s">
        <v>220</v>
      </c>
    </row>
  </sheetData>
  <sheetProtection selectLockedCells="1"/>
  <autoFilter ref="A6:U15" xr:uid="{00000000-0009-0000-0000-000000000000}"/>
  <mergeCells count="26">
    <mergeCell ref="G4:G5"/>
    <mergeCell ref="W4:AB4"/>
    <mergeCell ref="A4:A5"/>
    <mergeCell ref="B4:B5"/>
    <mergeCell ref="C4:C5"/>
    <mergeCell ref="D4:D5"/>
    <mergeCell ref="E4:F5"/>
    <mergeCell ref="H4:H5"/>
    <mergeCell ref="I4:I5"/>
    <mergeCell ref="J4:J5"/>
    <mergeCell ref="K4:K5"/>
    <mergeCell ref="L4:L5"/>
    <mergeCell ref="M4:M5"/>
    <mergeCell ref="N4:N5"/>
    <mergeCell ref="O4:O5"/>
    <mergeCell ref="P4:U4"/>
    <mergeCell ref="AD4:AI4"/>
    <mergeCell ref="AK4:AP4"/>
    <mergeCell ref="AR4:AW4"/>
    <mergeCell ref="AY4:BD4"/>
    <mergeCell ref="BF4:BK4"/>
    <mergeCell ref="BM4:BR4"/>
    <mergeCell ref="BT4:BY4"/>
    <mergeCell ref="CA4:CF4"/>
    <mergeCell ref="CH4:CM4"/>
    <mergeCell ref="CO4:CT4"/>
  </mergeCells>
  <pageMargins left="0.7" right="0.7" top="0.75" bottom="0.75" header="0.3" footer="0.3"/>
  <pageSetup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1DFC7B-A1BD-4DCE-9CE5-86EE3D548DAB}">
          <x14:formula1>
            <xm:f>'PTKP &amp; TARIF'!$H$3:$H$4</xm:f>
          </x14:formula1>
          <xm:sqref>O7:O45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2089-252F-402A-B153-F5A73169FF01}">
  <sheetPr>
    <tabColor rgb="FFFF0000"/>
  </sheetPr>
  <dimension ref="A1:DN41"/>
  <sheetViews>
    <sheetView zoomScale="70" zoomScaleNormal="70" workbookViewId="0">
      <pane xSplit="12" ySplit="6" topLeftCell="AG7" activePane="bottomRight" state="frozen"/>
      <selection pane="topRight" activeCell="N1" sqref="N1"/>
      <selection pane="bottomLeft" activeCell="A7" sqref="A7"/>
      <selection pane="bottomRight" activeCell="D8" sqref="D8"/>
    </sheetView>
  </sheetViews>
  <sheetFormatPr defaultColWidth="9.08984375" defaultRowHeight="14.5" x14ac:dyDescent="0.35"/>
  <cols>
    <col min="1" max="1" width="6" style="35" customWidth="1"/>
    <col min="2" max="2" width="12.08984375" style="35" hidden="1" customWidth="1"/>
    <col min="3" max="3" width="17.36328125" style="36" customWidth="1"/>
    <col min="4" max="4" width="7.08984375" style="36" customWidth="1"/>
    <col min="5" max="5" width="8.54296875" style="37" customWidth="1"/>
    <col min="6" max="6" width="16.90625" style="38" bestFit="1" customWidth="1"/>
    <col min="7" max="7" width="4" style="35" customWidth="1"/>
    <col min="8" max="8" width="19" style="35" customWidth="1"/>
    <col min="9" max="9" width="6.6328125" style="35" customWidth="1"/>
    <col min="10" max="10" width="30.6328125" style="35" customWidth="1"/>
    <col min="11" max="11" width="26.6328125" style="35" bestFit="1" customWidth="1"/>
    <col min="12" max="12" width="7.6328125" style="35" bestFit="1" customWidth="1"/>
    <col min="13" max="13" width="14.90625" style="35" customWidth="1"/>
    <col min="14" max="14" width="11.08984375" style="35" customWidth="1"/>
    <col min="15" max="15" width="12.1796875" style="35" bestFit="1" customWidth="1"/>
    <col min="16" max="16" width="10.54296875" style="35" customWidth="1"/>
    <col min="17" max="17" width="13.6328125" style="35" customWidth="1"/>
    <col min="18" max="18" width="11.54296875" style="35" customWidth="1"/>
    <col min="19" max="19" width="12.1796875" style="35" bestFit="1" customWidth="1"/>
    <col min="20" max="20" width="14.36328125" style="35" customWidth="1"/>
    <col min="21" max="21" width="12.54296875" style="35" customWidth="1"/>
    <col min="22" max="22" width="14.453125" style="35" customWidth="1"/>
    <col min="23" max="24" width="16.36328125" style="35" customWidth="1"/>
    <col min="25" max="25" width="14.54296875" style="35" customWidth="1"/>
    <col min="26" max="26" width="11.08984375" style="35" customWidth="1"/>
    <col min="27" max="27" width="12.1796875" style="35" bestFit="1" customWidth="1"/>
    <col min="28" max="28" width="11.08984375" style="35" customWidth="1"/>
    <col min="29" max="29" width="12.36328125" style="35" customWidth="1"/>
    <col min="30" max="30" width="13.6328125" style="35" customWidth="1"/>
    <col min="31" max="31" width="12.1796875" style="35" bestFit="1" customWidth="1"/>
    <col min="32" max="32" width="11.08984375" style="35" customWidth="1"/>
    <col min="33" max="33" width="14.36328125" style="35" customWidth="1"/>
    <col min="34" max="34" width="12.54296875" style="35" customWidth="1"/>
    <col min="35" max="35" width="14.453125" style="35" customWidth="1"/>
    <col min="36" max="36" width="16.36328125" style="35" customWidth="1"/>
    <col min="37" max="37" width="3.54296875" style="35" customWidth="1"/>
    <col min="38" max="39" width="14.453125" style="35" customWidth="1"/>
    <col min="40" max="40" width="16.453125" style="35" bestFit="1" customWidth="1"/>
    <col min="41" max="41" width="14.90625" style="35" bestFit="1" customWidth="1"/>
    <col min="42" max="42" width="14.453125" style="35" bestFit="1" customWidth="1"/>
    <col min="43" max="45" width="12.90625" style="35" customWidth="1"/>
    <col min="46" max="46" width="15.90625" style="35" customWidth="1"/>
    <col min="47" max="47" width="12.90625" style="35" bestFit="1" customWidth="1"/>
    <col min="48" max="48" width="14.54296875" style="35" customWidth="1"/>
    <col min="49" max="49" width="13.90625" style="35" bestFit="1" customWidth="1"/>
    <col min="50" max="50" width="9.36328125" style="35" bestFit="1" customWidth="1"/>
    <col min="51" max="53" width="13.90625" style="35" bestFit="1" customWidth="1"/>
    <col min="54" max="54" width="14.90625" style="35" bestFit="1" customWidth="1"/>
    <col min="55" max="55" width="16" style="35" customWidth="1"/>
    <col min="56" max="58" width="16.453125" style="35" bestFit="1" customWidth="1"/>
    <col min="59" max="60" width="14.90625" style="35" bestFit="1" customWidth="1"/>
    <col min="61" max="61" width="14.36328125" style="35" customWidth="1"/>
    <col min="62" max="62" width="1.54296875" style="35" customWidth="1"/>
    <col min="63" max="63" width="16.453125" style="35" bestFit="1" customWidth="1"/>
    <col min="64" max="65" width="14.90625" style="35" bestFit="1" customWidth="1"/>
    <col min="66" max="66" width="12.6328125" style="35" customWidth="1"/>
    <col min="67" max="67" width="3.54296875" style="35" customWidth="1"/>
    <col min="68" max="68" width="12.08984375" style="35" bestFit="1" customWidth="1"/>
    <col min="69" max="70" width="9.08984375" style="35"/>
    <col min="71" max="71" width="16.6328125" style="35" bestFit="1" customWidth="1"/>
    <col min="72" max="72" width="12.453125" style="35" bestFit="1" customWidth="1"/>
    <col min="73" max="73" width="9.453125" style="35" bestFit="1" customWidth="1"/>
    <col min="74" max="74" width="14.36328125" style="35" bestFit="1" customWidth="1"/>
    <col min="75" max="75" width="12.90625" style="35" bestFit="1" customWidth="1"/>
    <col min="76" max="76" width="9.08984375" style="35"/>
    <col min="77" max="77" width="5" style="35" customWidth="1"/>
    <col min="78" max="78" width="10.08984375" style="35" bestFit="1" customWidth="1"/>
    <col min="79" max="79" width="10.90625" style="35" bestFit="1" customWidth="1"/>
    <col min="80" max="84" width="9.08984375" style="35"/>
    <col min="85" max="85" width="19.08984375" style="35" bestFit="1" customWidth="1"/>
    <col min="86" max="86" width="6.08984375" style="35" bestFit="1" customWidth="1"/>
    <col min="87" max="87" width="19.08984375" style="35" bestFit="1" customWidth="1"/>
    <col min="88" max="88" width="11.81640625" style="35" bestFit="1" customWidth="1"/>
    <col min="89" max="89" width="19.08984375" style="35" bestFit="1" customWidth="1"/>
    <col min="90" max="90" width="17.453125" style="35" bestFit="1" customWidth="1"/>
    <col min="91" max="91" width="12.54296875" style="35" bestFit="1" customWidth="1"/>
    <col min="92" max="94" width="9.08984375" style="35"/>
    <col min="95" max="96" width="12.08984375" style="35" bestFit="1" customWidth="1"/>
    <col min="97" max="98" width="9.08984375" style="35"/>
    <col min="99" max="99" width="10.08984375" style="35" bestFit="1" customWidth="1"/>
    <col min="100" max="101" width="9.08984375" style="35"/>
    <col min="102" max="102" width="12.90625" style="35" bestFit="1" customWidth="1"/>
    <col min="103" max="103" width="10.08984375" style="35" bestFit="1" customWidth="1"/>
    <col min="104" max="104" width="13.6328125" style="35" bestFit="1" customWidth="1"/>
    <col min="105" max="105" width="21.08984375" style="35" bestFit="1" customWidth="1"/>
    <col min="106" max="106" width="12.08984375" style="35" bestFit="1" customWidth="1"/>
    <col min="107" max="107" width="20.453125" style="35" bestFit="1" customWidth="1"/>
    <col min="108" max="108" width="20.54296875" style="35" bestFit="1" customWidth="1"/>
    <col min="109" max="109" width="12.1796875" style="35" bestFit="1" customWidth="1"/>
    <col min="110" max="110" width="12.08984375" style="35" bestFit="1" customWidth="1"/>
    <col min="111" max="111" width="14.54296875" style="35" bestFit="1" customWidth="1"/>
    <col min="112" max="112" width="36.453125" style="35" bestFit="1" customWidth="1"/>
    <col min="113" max="113" width="15.6328125" style="35" bestFit="1" customWidth="1"/>
    <col min="114" max="114" width="14.453125" style="35" customWidth="1"/>
    <col min="115" max="115" width="12.08984375" style="35" bestFit="1" customWidth="1"/>
    <col min="116" max="116" width="14" style="35" customWidth="1"/>
    <col min="117" max="117" width="14.6328125" style="35" bestFit="1" customWidth="1"/>
    <col min="118" max="118" width="18.36328125" style="35" bestFit="1" customWidth="1"/>
    <col min="119" max="16384" width="9.08984375" style="35"/>
  </cols>
  <sheetData>
    <row r="1" spans="1:118" x14ac:dyDescent="0.35">
      <c r="A1" s="186" t="str">
        <f>'Data Gaji'!A1</f>
        <v>PT. X</v>
      </c>
      <c r="Q1" s="187"/>
      <c r="R1" s="187"/>
      <c r="S1" s="188"/>
      <c r="Y1" s="42"/>
      <c r="AD1" s="187"/>
      <c r="AE1" s="187"/>
      <c r="AF1" s="188"/>
    </row>
    <row r="2" spans="1:118" x14ac:dyDescent="0.35">
      <c r="A2" s="189" t="s">
        <v>38</v>
      </c>
      <c r="Q2" s="187"/>
      <c r="R2" s="187"/>
      <c r="S2" s="188"/>
      <c r="Y2" s="42"/>
      <c r="AD2" s="187"/>
      <c r="AE2" s="187"/>
      <c r="AF2" s="188"/>
      <c r="BP2" s="383" t="s">
        <v>213</v>
      </c>
      <c r="BQ2" s="383"/>
      <c r="BR2" s="383"/>
      <c r="BS2" s="383"/>
      <c r="BT2" s="383"/>
      <c r="BU2" s="383"/>
      <c r="BV2" s="383"/>
      <c r="BW2" s="383"/>
      <c r="BX2" s="383"/>
      <c r="BY2" s="247"/>
      <c r="BZ2" s="383" t="s">
        <v>200</v>
      </c>
      <c r="CA2" s="383"/>
      <c r="CB2" s="383"/>
      <c r="CC2" s="383"/>
      <c r="CD2" s="383"/>
      <c r="CE2" s="383"/>
      <c r="CF2" s="383"/>
      <c r="CG2" s="383"/>
      <c r="CH2" s="383"/>
      <c r="CI2" s="383"/>
      <c r="CJ2" s="383"/>
      <c r="CK2" s="383"/>
      <c r="CL2" s="383"/>
      <c r="CM2" s="383"/>
      <c r="CN2" s="383"/>
      <c r="CO2" s="383"/>
      <c r="CP2" s="383"/>
      <c r="CQ2" s="383"/>
      <c r="CR2" s="383"/>
      <c r="CS2" s="383"/>
      <c r="CT2" s="383"/>
      <c r="CU2" s="383"/>
      <c r="CV2" s="383"/>
      <c r="CW2" s="383"/>
      <c r="CX2" s="383"/>
      <c r="CY2" s="383"/>
      <c r="CZ2" s="383"/>
      <c r="DA2" s="383"/>
      <c r="DB2" s="383"/>
      <c r="DC2" s="383"/>
      <c r="DD2" s="383"/>
      <c r="DE2" s="383"/>
      <c r="DF2" s="383"/>
      <c r="DG2" s="383"/>
      <c r="DH2" s="383"/>
      <c r="DI2" s="383"/>
      <c r="DJ2" s="383"/>
      <c r="DK2" s="383"/>
      <c r="DL2" s="383"/>
      <c r="DM2" s="383"/>
      <c r="DN2" s="383"/>
    </row>
    <row r="3" spans="1:118" x14ac:dyDescent="0.35">
      <c r="A3" s="186" t="s">
        <v>87</v>
      </c>
      <c r="Q3" s="190"/>
      <c r="R3" s="190"/>
      <c r="AD3" s="190"/>
      <c r="AE3" s="190"/>
      <c r="BP3" s="248" t="s">
        <v>138</v>
      </c>
      <c r="BQ3" s="249">
        <v>12</v>
      </c>
      <c r="BR3" s="377" t="s">
        <v>141</v>
      </c>
      <c r="BS3" s="378"/>
      <c r="BT3" s="378"/>
      <c r="BU3" s="378"/>
      <c r="BV3" s="378"/>
      <c r="BW3" s="378"/>
      <c r="BX3" s="379"/>
      <c r="BY3" s="247"/>
      <c r="BZ3" s="384" t="str">
        <f>BR3</f>
        <v>FILE COPY CSV UNTUK DIIMPOR KE ESPT</v>
      </c>
      <c r="CA3" s="385"/>
      <c r="CB3" s="385"/>
      <c r="CC3" s="385"/>
      <c r="CD3" s="385"/>
      <c r="CE3" s="385"/>
      <c r="CF3" s="385"/>
      <c r="CG3" s="385"/>
      <c r="CH3" s="385"/>
      <c r="CI3" s="385"/>
      <c r="CJ3" s="385"/>
      <c r="CK3" s="385"/>
      <c r="CL3" s="385"/>
      <c r="CM3" s="385"/>
      <c r="CN3" s="385"/>
      <c r="CO3" s="385"/>
      <c r="CP3" s="385"/>
      <c r="CQ3" s="385"/>
      <c r="CR3" s="385"/>
      <c r="CS3" s="385"/>
      <c r="CT3" s="385"/>
      <c r="CU3" s="385"/>
      <c r="CV3" s="385"/>
      <c r="CW3" s="385"/>
      <c r="CX3" s="385"/>
      <c r="CY3" s="385"/>
      <c r="CZ3" s="385"/>
      <c r="DA3" s="385"/>
      <c r="DB3" s="385"/>
      <c r="DC3" s="385"/>
      <c r="DD3" s="385"/>
      <c r="DE3" s="385"/>
      <c r="DF3" s="385"/>
      <c r="DG3" s="385"/>
      <c r="DH3" s="385"/>
      <c r="DI3" s="385"/>
      <c r="DJ3" s="385"/>
      <c r="DK3" s="385"/>
      <c r="DL3" s="385"/>
      <c r="DM3" s="385"/>
      <c r="DN3" s="386"/>
    </row>
    <row r="4" spans="1:118" ht="26.25" customHeight="1" thickBot="1" x14ac:dyDescent="0.4">
      <c r="A4" s="191"/>
      <c r="B4" s="191"/>
      <c r="C4" s="192"/>
      <c r="D4" s="192"/>
      <c r="E4" s="191"/>
      <c r="F4" s="193"/>
      <c r="G4" s="193"/>
      <c r="H4" s="191"/>
      <c r="I4" s="191"/>
      <c r="J4" s="191"/>
      <c r="K4" s="191"/>
      <c r="L4" s="191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194"/>
      <c r="AL4" s="350"/>
      <c r="AM4" s="350"/>
      <c r="AN4" s="359"/>
      <c r="AO4" s="359"/>
      <c r="AP4" s="359"/>
      <c r="AQ4" s="359"/>
      <c r="AR4" s="359"/>
      <c r="AS4" s="359"/>
      <c r="AT4" s="359"/>
      <c r="AU4" s="359"/>
      <c r="AV4" s="359"/>
      <c r="AW4" s="349"/>
      <c r="AX4" s="349"/>
      <c r="AY4" s="349"/>
      <c r="AZ4" s="349"/>
      <c r="BA4" s="349"/>
      <c r="BB4" s="349"/>
      <c r="BC4" s="195"/>
      <c r="BD4" s="196"/>
      <c r="BE4" s="196"/>
      <c r="BF4" s="196"/>
      <c r="BG4" s="196"/>
      <c r="BH4" s="196"/>
      <c r="BI4" s="196"/>
      <c r="BP4" s="250" t="s">
        <v>139</v>
      </c>
      <c r="BQ4" s="251">
        <v>2024</v>
      </c>
      <c r="BR4" s="377"/>
      <c r="BS4" s="378"/>
      <c r="BT4" s="378"/>
      <c r="BU4" s="378"/>
      <c r="BV4" s="378"/>
      <c r="BW4" s="378"/>
      <c r="BX4" s="379"/>
      <c r="BY4" s="247"/>
      <c r="BZ4" s="387"/>
      <c r="CA4" s="388"/>
      <c r="CB4" s="388"/>
      <c r="CC4" s="388"/>
      <c r="CD4" s="388"/>
      <c r="CE4" s="388"/>
      <c r="CF4" s="388"/>
      <c r="CG4" s="388"/>
      <c r="CH4" s="388"/>
      <c r="CI4" s="388"/>
      <c r="CJ4" s="388"/>
      <c r="CK4" s="388"/>
      <c r="CL4" s="388"/>
      <c r="CM4" s="388"/>
      <c r="CN4" s="388"/>
      <c r="CO4" s="388"/>
      <c r="CP4" s="388"/>
      <c r="CQ4" s="388"/>
      <c r="CR4" s="388"/>
      <c r="CS4" s="388"/>
      <c r="CT4" s="388"/>
      <c r="CU4" s="388"/>
      <c r="CV4" s="388"/>
      <c r="CW4" s="388"/>
      <c r="CX4" s="388"/>
      <c r="CY4" s="388"/>
      <c r="CZ4" s="388"/>
      <c r="DA4" s="388"/>
      <c r="DB4" s="388"/>
      <c r="DC4" s="388"/>
      <c r="DD4" s="388"/>
      <c r="DE4" s="388"/>
      <c r="DF4" s="388"/>
      <c r="DG4" s="388"/>
      <c r="DH4" s="388"/>
      <c r="DI4" s="388"/>
      <c r="DJ4" s="388"/>
      <c r="DK4" s="388"/>
      <c r="DL4" s="388"/>
      <c r="DM4" s="388"/>
      <c r="DN4" s="389"/>
    </row>
    <row r="5" spans="1:118" s="32" customFormat="1" ht="33.75" customHeight="1" thickTop="1" thickBot="1" x14ac:dyDescent="0.4">
      <c r="A5" s="353" t="s">
        <v>0</v>
      </c>
      <c r="B5" s="355" t="s">
        <v>24</v>
      </c>
      <c r="C5" s="357" t="s">
        <v>25</v>
      </c>
      <c r="D5" s="351" t="s">
        <v>198</v>
      </c>
      <c r="E5" s="352"/>
      <c r="F5" s="363" t="s">
        <v>1</v>
      </c>
      <c r="G5" s="364"/>
      <c r="H5" s="355" t="s">
        <v>156</v>
      </c>
      <c r="I5" s="355" t="s">
        <v>37</v>
      </c>
      <c r="J5" s="215"/>
      <c r="K5" s="355" t="s">
        <v>3</v>
      </c>
      <c r="L5" s="367" t="s">
        <v>4</v>
      </c>
      <c r="M5" s="369" t="s">
        <v>64</v>
      </c>
      <c r="N5" s="361"/>
      <c r="O5" s="360" t="s">
        <v>65</v>
      </c>
      <c r="P5" s="361"/>
      <c r="Q5" s="360" t="s">
        <v>66</v>
      </c>
      <c r="R5" s="361"/>
      <c r="S5" s="360" t="s">
        <v>67</v>
      </c>
      <c r="T5" s="361"/>
      <c r="U5" s="360" t="s">
        <v>68</v>
      </c>
      <c r="V5" s="361"/>
      <c r="W5" s="360" t="s">
        <v>69</v>
      </c>
      <c r="X5" s="361"/>
      <c r="Y5" s="360" t="s">
        <v>70</v>
      </c>
      <c r="Z5" s="361"/>
      <c r="AA5" s="360" t="s">
        <v>71</v>
      </c>
      <c r="AB5" s="361"/>
      <c r="AC5" s="360" t="s">
        <v>72</v>
      </c>
      <c r="AD5" s="361"/>
      <c r="AE5" s="360" t="s">
        <v>73</v>
      </c>
      <c r="AF5" s="361"/>
      <c r="AG5" s="360" t="s">
        <v>74</v>
      </c>
      <c r="AH5" s="362"/>
      <c r="AI5" s="369" t="s">
        <v>216</v>
      </c>
      <c r="AJ5" s="370"/>
      <c r="AK5" s="121"/>
      <c r="AL5" s="369" t="s">
        <v>75</v>
      </c>
      <c r="AM5" s="370"/>
      <c r="AN5" s="371" t="s">
        <v>58</v>
      </c>
      <c r="AO5" s="371"/>
      <c r="AP5" s="371"/>
      <c r="AQ5" s="371"/>
      <c r="AR5" s="371"/>
      <c r="AS5" s="371"/>
      <c r="AT5" s="371"/>
      <c r="AU5" s="371"/>
      <c r="AV5" s="372"/>
      <c r="AW5" s="373" t="s">
        <v>59</v>
      </c>
      <c r="AX5" s="373"/>
      <c r="AY5" s="373"/>
      <c r="AZ5" s="373"/>
      <c r="BA5" s="373"/>
      <c r="BB5" s="374"/>
      <c r="BC5" s="375" t="s">
        <v>60</v>
      </c>
      <c r="BD5" s="393" t="s">
        <v>61</v>
      </c>
      <c r="BE5" s="395" t="s">
        <v>62</v>
      </c>
      <c r="BF5" s="374"/>
      <c r="BG5" s="395" t="s">
        <v>63</v>
      </c>
      <c r="BH5" s="373"/>
      <c r="BI5" s="374"/>
      <c r="BJ5" s="37"/>
      <c r="BK5" s="396" t="s">
        <v>137</v>
      </c>
      <c r="BL5" s="397"/>
      <c r="BM5" s="397"/>
      <c r="BN5" s="398"/>
      <c r="BO5" s="37"/>
      <c r="BP5" s="252" t="s">
        <v>140</v>
      </c>
      <c r="BQ5" s="252">
        <v>0</v>
      </c>
      <c r="BR5" s="380"/>
      <c r="BS5" s="381"/>
      <c r="BT5" s="381"/>
      <c r="BU5" s="381"/>
      <c r="BV5" s="381"/>
      <c r="BW5" s="381"/>
      <c r="BX5" s="382"/>
      <c r="BY5" s="253"/>
      <c r="BZ5" s="390"/>
      <c r="CA5" s="391"/>
      <c r="CB5" s="391"/>
      <c r="CC5" s="391"/>
      <c r="CD5" s="391"/>
      <c r="CE5" s="391"/>
      <c r="CF5" s="391"/>
      <c r="CG5" s="391"/>
      <c r="CH5" s="391"/>
      <c r="CI5" s="391"/>
      <c r="CJ5" s="391"/>
      <c r="CK5" s="391"/>
      <c r="CL5" s="391"/>
      <c r="CM5" s="391"/>
      <c r="CN5" s="391"/>
      <c r="CO5" s="391"/>
      <c r="CP5" s="391"/>
      <c r="CQ5" s="391"/>
      <c r="CR5" s="391"/>
      <c r="CS5" s="391"/>
      <c r="CT5" s="391"/>
      <c r="CU5" s="391"/>
      <c r="CV5" s="391"/>
      <c r="CW5" s="391"/>
      <c r="CX5" s="391"/>
      <c r="CY5" s="391"/>
      <c r="CZ5" s="391"/>
      <c r="DA5" s="391"/>
      <c r="DB5" s="391"/>
      <c r="DC5" s="391"/>
      <c r="DD5" s="391"/>
      <c r="DE5" s="391"/>
      <c r="DF5" s="391"/>
      <c r="DG5" s="391"/>
      <c r="DH5" s="391"/>
      <c r="DI5" s="391"/>
      <c r="DJ5" s="391"/>
      <c r="DK5" s="391"/>
      <c r="DL5" s="391"/>
      <c r="DM5" s="391"/>
      <c r="DN5" s="392"/>
    </row>
    <row r="6" spans="1:118" s="8" customFormat="1" ht="56.4" customHeight="1" thickTop="1" thickBot="1" x14ac:dyDescent="0.4">
      <c r="A6" s="354"/>
      <c r="B6" s="356"/>
      <c r="C6" s="358"/>
      <c r="D6" s="218" t="s">
        <v>4</v>
      </c>
      <c r="E6" s="219" t="s">
        <v>197</v>
      </c>
      <c r="F6" s="365"/>
      <c r="G6" s="366"/>
      <c r="H6" s="356"/>
      <c r="I6" s="356"/>
      <c r="J6" s="219" t="s">
        <v>26</v>
      </c>
      <c r="K6" s="356"/>
      <c r="L6" s="368"/>
      <c r="M6" s="216" t="s">
        <v>88</v>
      </c>
      <c r="N6" s="217" t="s">
        <v>89</v>
      </c>
      <c r="O6" s="217" t="s">
        <v>88</v>
      </c>
      <c r="P6" s="217" t="s">
        <v>89</v>
      </c>
      <c r="Q6" s="217" t="s">
        <v>88</v>
      </c>
      <c r="R6" s="217" t="s">
        <v>89</v>
      </c>
      <c r="S6" s="217" t="s">
        <v>88</v>
      </c>
      <c r="T6" s="217" t="s">
        <v>89</v>
      </c>
      <c r="U6" s="217" t="s">
        <v>88</v>
      </c>
      <c r="V6" s="217" t="s">
        <v>89</v>
      </c>
      <c r="W6" s="217" t="s">
        <v>88</v>
      </c>
      <c r="X6" s="217" t="s">
        <v>89</v>
      </c>
      <c r="Y6" s="217" t="s">
        <v>88</v>
      </c>
      <c r="Z6" s="217" t="s">
        <v>89</v>
      </c>
      <c r="AA6" s="217" t="s">
        <v>88</v>
      </c>
      <c r="AB6" s="217" t="s">
        <v>89</v>
      </c>
      <c r="AC6" s="217" t="s">
        <v>88</v>
      </c>
      <c r="AD6" s="217" t="s">
        <v>89</v>
      </c>
      <c r="AE6" s="217" t="s">
        <v>88</v>
      </c>
      <c r="AF6" s="217" t="s">
        <v>89</v>
      </c>
      <c r="AG6" s="217" t="s">
        <v>88</v>
      </c>
      <c r="AH6" s="221" t="s">
        <v>89</v>
      </c>
      <c r="AI6" s="216" t="s">
        <v>157</v>
      </c>
      <c r="AJ6" s="220" t="s">
        <v>158</v>
      </c>
      <c r="AK6" s="121"/>
      <c r="AL6" s="216" t="s">
        <v>88</v>
      </c>
      <c r="AM6" s="220" t="s">
        <v>89</v>
      </c>
      <c r="AN6" s="228" t="s">
        <v>76</v>
      </c>
      <c r="AO6" s="229" t="s">
        <v>111</v>
      </c>
      <c r="AP6" s="229" t="s">
        <v>112</v>
      </c>
      <c r="AQ6" s="229" t="s">
        <v>113</v>
      </c>
      <c r="AR6" s="229" t="s">
        <v>114</v>
      </c>
      <c r="AS6" s="229" t="s">
        <v>39</v>
      </c>
      <c r="AT6" s="229" t="s">
        <v>77</v>
      </c>
      <c r="AU6" s="229" t="s">
        <v>78</v>
      </c>
      <c r="AV6" s="230" t="s">
        <v>77</v>
      </c>
      <c r="AW6" s="231" t="s">
        <v>135</v>
      </c>
      <c r="AX6" s="229" t="s">
        <v>136</v>
      </c>
      <c r="AY6" s="147" t="s">
        <v>80</v>
      </c>
      <c r="AZ6" s="147" t="s">
        <v>81</v>
      </c>
      <c r="BA6" s="147" t="s">
        <v>134</v>
      </c>
      <c r="BB6" s="230" t="s">
        <v>79</v>
      </c>
      <c r="BC6" s="376"/>
      <c r="BD6" s="394"/>
      <c r="BE6" s="232" t="s">
        <v>82</v>
      </c>
      <c r="BF6" s="233" t="s">
        <v>83</v>
      </c>
      <c r="BG6" s="228" t="s">
        <v>84</v>
      </c>
      <c r="BH6" s="229" t="s">
        <v>85</v>
      </c>
      <c r="BI6" s="230" t="s">
        <v>86</v>
      </c>
      <c r="BJ6" s="40"/>
      <c r="BK6" s="197" t="s">
        <v>115</v>
      </c>
      <c r="BL6" s="198" t="s">
        <v>116</v>
      </c>
      <c r="BM6" s="234" t="s">
        <v>218</v>
      </c>
      <c r="BN6" s="199" t="s">
        <v>117</v>
      </c>
      <c r="BO6" s="40"/>
      <c r="BP6" s="252" t="s">
        <v>142</v>
      </c>
      <c r="BQ6" s="252" t="s">
        <v>143</v>
      </c>
      <c r="BR6" s="252" t="s">
        <v>144</v>
      </c>
      <c r="BS6" s="252" t="s">
        <v>1</v>
      </c>
      <c r="BT6" s="252" t="s">
        <v>145</v>
      </c>
      <c r="BU6" s="252" t="s">
        <v>146</v>
      </c>
      <c r="BV6" s="252" t="s">
        <v>147</v>
      </c>
      <c r="BW6" s="252" t="s">
        <v>148</v>
      </c>
      <c r="BX6" s="252" t="s">
        <v>149</v>
      </c>
      <c r="BY6" s="254"/>
      <c r="BZ6" s="255" t="s">
        <v>142</v>
      </c>
      <c r="CA6" s="255" t="s">
        <v>143</v>
      </c>
      <c r="CB6" s="255" t="s">
        <v>144</v>
      </c>
      <c r="CC6" s="255" t="s">
        <v>159</v>
      </c>
      <c r="CD6" s="255" t="s">
        <v>160</v>
      </c>
      <c r="CE6" s="255" t="s">
        <v>161</v>
      </c>
      <c r="CF6" s="255" t="s">
        <v>1</v>
      </c>
      <c r="CG6" s="255" t="s">
        <v>162</v>
      </c>
      <c r="CH6" s="255" t="s">
        <v>145</v>
      </c>
      <c r="CI6" s="255" t="s">
        <v>163</v>
      </c>
      <c r="CJ6" s="255" t="s">
        <v>164</v>
      </c>
      <c r="CK6" s="255" t="s">
        <v>165</v>
      </c>
      <c r="CL6" s="255" t="s">
        <v>166</v>
      </c>
      <c r="CM6" s="255" t="s">
        <v>167</v>
      </c>
      <c r="CN6" s="255" t="s">
        <v>168</v>
      </c>
      <c r="CO6" s="255" t="s">
        <v>149</v>
      </c>
      <c r="CP6" s="255" t="s">
        <v>146</v>
      </c>
      <c r="CQ6" s="255" t="s">
        <v>76</v>
      </c>
      <c r="CR6" s="255" t="s">
        <v>169</v>
      </c>
      <c r="CS6" s="255" t="s">
        <v>170</v>
      </c>
      <c r="CT6" s="255" t="s">
        <v>199</v>
      </c>
      <c r="CU6" s="255" t="s">
        <v>113</v>
      </c>
      <c r="CV6" s="255" t="s">
        <v>39</v>
      </c>
      <c r="CW6" s="255" t="s">
        <v>171</v>
      </c>
      <c r="CX6" s="255" t="s">
        <v>172</v>
      </c>
      <c r="CY6" s="255" t="s">
        <v>173</v>
      </c>
      <c r="CZ6" s="255" t="s">
        <v>174</v>
      </c>
      <c r="DA6" s="255" t="s">
        <v>175</v>
      </c>
      <c r="DB6" s="255" t="s">
        <v>176</v>
      </c>
      <c r="DC6" s="255" t="s">
        <v>177</v>
      </c>
      <c r="DD6" s="255" t="s">
        <v>178</v>
      </c>
      <c r="DE6" s="255" t="s">
        <v>61</v>
      </c>
      <c r="DF6" s="255" t="s">
        <v>62</v>
      </c>
      <c r="DG6" s="255" t="s">
        <v>179</v>
      </c>
      <c r="DH6" s="255" t="s">
        <v>180</v>
      </c>
      <c r="DI6" s="255" t="s">
        <v>181</v>
      </c>
      <c r="DJ6" s="255" t="s">
        <v>182</v>
      </c>
      <c r="DK6" s="255" t="s">
        <v>183</v>
      </c>
      <c r="DL6" s="255" t="s">
        <v>184</v>
      </c>
      <c r="DM6" s="255" t="s">
        <v>185</v>
      </c>
      <c r="DN6" s="255" t="s">
        <v>186</v>
      </c>
    </row>
    <row r="7" spans="1:118" customFormat="1" ht="15" thickTop="1" x14ac:dyDescent="0.35">
      <c r="A7" s="204" t="s">
        <v>12</v>
      </c>
      <c r="B7" s="205"/>
      <c r="C7" s="206"/>
      <c r="D7" s="206"/>
      <c r="E7" s="207"/>
      <c r="F7" s="208"/>
      <c r="G7" s="208"/>
      <c r="H7" s="207"/>
      <c r="I7" s="207"/>
      <c r="J7" s="207"/>
      <c r="K7" s="207"/>
      <c r="L7" s="209"/>
      <c r="M7" s="210"/>
      <c r="N7" s="207"/>
      <c r="O7" s="207"/>
      <c r="P7" s="207"/>
      <c r="Q7" s="211"/>
      <c r="R7" s="211"/>
      <c r="S7" s="211"/>
      <c r="T7" s="211"/>
      <c r="U7" s="211"/>
      <c r="V7" s="211"/>
      <c r="W7" s="211"/>
      <c r="X7" s="211"/>
      <c r="Y7" s="211"/>
      <c r="Z7" s="207"/>
      <c r="AA7" s="207"/>
      <c r="AB7" s="207"/>
      <c r="AC7" s="207"/>
      <c r="AD7" s="211"/>
      <c r="AE7" s="211"/>
      <c r="AF7" s="211"/>
      <c r="AG7" s="211"/>
      <c r="AH7" s="212"/>
      <c r="AI7" s="213"/>
      <c r="AJ7" s="214"/>
      <c r="AK7" s="122"/>
      <c r="AL7" s="213"/>
      <c r="AM7" s="222"/>
      <c r="AN7" s="223"/>
      <c r="AO7" s="224"/>
      <c r="AP7" s="224"/>
      <c r="AQ7" s="224"/>
      <c r="AR7" s="224"/>
      <c r="AS7" s="224"/>
      <c r="AT7" s="225"/>
      <c r="AU7" s="224"/>
      <c r="AV7" s="225"/>
      <c r="AW7" s="226"/>
      <c r="AX7" s="224"/>
      <c r="AY7" s="224"/>
      <c r="AZ7" s="224"/>
      <c r="BA7" s="224"/>
      <c r="BB7" s="227"/>
      <c r="BC7" s="223"/>
      <c r="BD7" s="225"/>
      <c r="BE7" s="226"/>
      <c r="BF7" s="225"/>
      <c r="BG7" s="226"/>
      <c r="BH7" s="224"/>
      <c r="BI7" s="227"/>
      <c r="BJ7" s="35"/>
      <c r="BK7" s="183"/>
      <c r="BL7" s="184"/>
      <c r="BM7" s="184"/>
      <c r="BN7" s="185"/>
      <c r="BO7" s="35"/>
      <c r="BP7" s="256"/>
      <c r="BQ7" s="257"/>
      <c r="BR7" s="257"/>
      <c r="BS7" s="257"/>
      <c r="BT7" s="257"/>
      <c r="BU7" s="257"/>
      <c r="BV7" s="258"/>
      <c r="BW7" s="259"/>
      <c r="BX7" s="257"/>
      <c r="BY7" s="260"/>
      <c r="BZ7" s="261"/>
      <c r="CA7" s="261"/>
      <c r="CB7" s="261"/>
      <c r="CC7" s="261"/>
      <c r="CD7" s="261"/>
      <c r="CE7" s="261"/>
      <c r="CF7" s="261"/>
      <c r="CG7" s="261"/>
      <c r="CH7" s="261"/>
      <c r="CI7" s="261"/>
      <c r="CJ7" s="261"/>
      <c r="CK7" s="261"/>
      <c r="CL7" s="261"/>
      <c r="CM7" s="261"/>
      <c r="CN7" s="261"/>
      <c r="CO7" s="261"/>
      <c r="CP7" s="261"/>
      <c r="CQ7" s="261"/>
      <c r="CR7" s="261"/>
      <c r="CS7" s="261"/>
      <c r="CT7" s="261"/>
      <c r="CU7" s="261"/>
      <c r="CV7" s="261"/>
      <c r="CW7" s="261"/>
      <c r="CX7" s="261"/>
      <c r="CY7" s="261"/>
      <c r="CZ7" s="261"/>
      <c r="DA7" s="261"/>
      <c r="DB7" s="261"/>
      <c r="DC7" s="261"/>
      <c r="DD7" s="261"/>
      <c r="DE7" s="261"/>
      <c r="DF7" s="261"/>
      <c r="DG7" s="261"/>
      <c r="DH7" s="261"/>
      <c r="DI7" s="261"/>
      <c r="DJ7" s="261"/>
      <c r="DK7" s="261"/>
      <c r="DL7" s="261"/>
      <c r="DM7" s="261"/>
      <c r="DN7" s="261"/>
    </row>
    <row r="8" spans="1:118" customFormat="1" ht="15" customHeight="1" x14ac:dyDescent="0.35">
      <c r="A8" s="52">
        <v>1</v>
      </c>
      <c r="B8" s="53"/>
      <c r="C8" s="73">
        <f>'Data Gaji'!C7</f>
        <v>0</v>
      </c>
      <c r="D8" s="73" t="s">
        <v>188</v>
      </c>
      <c r="E8" s="55">
        <v>0</v>
      </c>
      <c r="F8" s="279">
        <f>'Data Gaji'!E7</f>
        <v>0</v>
      </c>
      <c r="G8" s="56" t="str">
        <f t="shared" ref="G8:G35" si="0">IF(F8=0,"N","Y")</f>
        <v>N</v>
      </c>
      <c r="H8" s="277">
        <f>'Data Gaji'!G7</f>
        <v>0</v>
      </c>
      <c r="I8" s="58">
        <f>'Data Gaji'!H7</f>
        <v>0</v>
      </c>
      <c r="J8" s="54" t="s">
        <v>224</v>
      </c>
      <c r="K8" s="59">
        <f>'Data Gaji'!J7</f>
        <v>0</v>
      </c>
      <c r="L8" s="180">
        <f>'Jan-Nov'!K7</f>
        <v>0</v>
      </c>
      <c r="M8" s="182">
        <f>'Jan-Nov'!S7</f>
        <v>0</v>
      </c>
      <c r="N8" s="86">
        <f>'Jan-Nov'!U7</f>
        <v>0</v>
      </c>
      <c r="O8" s="87">
        <f>'Jan-Nov'!Z7</f>
        <v>0</v>
      </c>
      <c r="P8" s="87">
        <f>'Jan-Nov'!AB7</f>
        <v>0</v>
      </c>
      <c r="Q8" s="85">
        <f>'Jan-Nov'!AD7</f>
        <v>0</v>
      </c>
      <c r="R8" s="88">
        <f>'Jan-Nov'!AI7</f>
        <v>0</v>
      </c>
      <c r="S8" s="89">
        <f>'Jan-Nov'!AK7</f>
        <v>0</v>
      </c>
      <c r="T8" s="87">
        <f>'Jan-Nov'!AP7</f>
        <v>0</v>
      </c>
      <c r="U8" s="87">
        <f>'Jan-Nov'!AR7</f>
        <v>0</v>
      </c>
      <c r="V8" s="89">
        <f>'Jan-Nov'!AW7</f>
        <v>0</v>
      </c>
      <c r="W8" s="89">
        <f>'Jan-Nov'!AY7</f>
        <v>0</v>
      </c>
      <c r="X8" s="89">
        <f>'Jan-Nov'!BD7</f>
        <v>0</v>
      </c>
      <c r="Y8" s="89">
        <f>'Jan-Nov'!BF7</f>
        <v>0</v>
      </c>
      <c r="Z8" s="86">
        <f>'Jan-Nov'!BK7</f>
        <v>0</v>
      </c>
      <c r="AA8" s="86">
        <f>'Jan-Nov'!BM7</f>
        <v>0</v>
      </c>
      <c r="AB8" s="87">
        <f>'Jan-Nov'!BR7</f>
        <v>0</v>
      </c>
      <c r="AC8" s="87">
        <f>'Jan-Nov'!BT7</f>
        <v>0</v>
      </c>
      <c r="AD8" s="85">
        <f>'Jan-Nov'!BY7</f>
        <v>0</v>
      </c>
      <c r="AE8" s="88">
        <f>'Jan-Nov'!CA7</f>
        <v>0</v>
      </c>
      <c r="AF8" s="89">
        <f>'Jan-Nov'!CF7</f>
        <v>0</v>
      </c>
      <c r="AG8" s="87">
        <f>'Jan-Nov'!CH7</f>
        <v>0</v>
      </c>
      <c r="AH8" s="85">
        <f>'Jan-Nov'!CM7</f>
        <v>0</v>
      </c>
      <c r="AI8" s="126">
        <f>M8+O8+Q8+S8+U8+W8+Y8+AA8+AC8+AE8+AG8</f>
        <v>0</v>
      </c>
      <c r="AJ8" s="90">
        <f>N8+P8+R8+T8+V8+X8+Z8+AB8+AD8+AF8+AH8</f>
        <v>0</v>
      </c>
      <c r="AK8" s="123"/>
      <c r="AL8" s="126">
        <f>'Data Gaji'!LG7</f>
        <v>0</v>
      </c>
      <c r="AM8" s="128">
        <f>'Jan-Nov'!CQ7</f>
        <v>0</v>
      </c>
      <c r="AN8" s="125">
        <f>AL8*12</f>
        <v>0</v>
      </c>
      <c r="AO8" s="77">
        <f>BM8</f>
        <v>0</v>
      </c>
      <c r="AP8" s="77">
        <f>'Data Gaji'!LO7</f>
        <v>0</v>
      </c>
      <c r="AQ8" s="77">
        <f>'Data Gaji'!LF7*12</f>
        <v>0</v>
      </c>
      <c r="AR8" s="77"/>
      <c r="AS8" s="77"/>
      <c r="AT8" s="75">
        <f>SUM(AN8:AS8)</f>
        <v>0</v>
      </c>
      <c r="AU8" s="82"/>
      <c r="AV8" s="84">
        <f>AT8+AU8</f>
        <v>0</v>
      </c>
      <c r="AW8" s="76">
        <f>IF(AT8*5%&gt;6000000,6000000,AT8*5%)</f>
        <v>0</v>
      </c>
      <c r="AX8" s="77">
        <f>IF((AW8+AU8*5%)&gt;=6000000,0,AU8*5%)</f>
        <v>0</v>
      </c>
      <c r="AY8" s="77"/>
      <c r="AZ8" s="77"/>
      <c r="BA8" s="77"/>
      <c r="BB8" s="74">
        <f>AW8+AX8+BA8</f>
        <v>0</v>
      </c>
      <c r="BC8" s="78">
        <f>AV8-BB8</f>
        <v>0</v>
      </c>
      <c r="BD8" s="79">
        <f t="shared" ref="BD8:BD38" si="1">IF(L8="K0",58500000,IF(L8="K1",63000000,IF(L8="K2",67500000,IF(L8="K3",72000000,IF(L8="TK0",54000000,IF(L8="TK1",58500000,IF(L8="TK2",63000000,IF(L8="TK3",67500000,54000000))))))))</f>
        <v>54000000</v>
      </c>
      <c r="BE8" s="80">
        <f>IF(BC8&lt;BD8,0,+BC8-BD8)</f>
        <v>0</v>
      </c>
      <c r="BF8" s="81">
        <f>INT((BE8)/1000)*1000</f>
        <v>0</v>
      </c>
      <c r="BG8" s="157">
        <f>IF(BF8&lt;=60000000,BF8*5%,IF(BF8&lt;=250000000,(BF8-50000000)*15%+3000000,IF(BF8&lt;=500000000,(BF8-250000000)*25%+31500000,IF(BF8&gt;500000000,(BF8-500000000)*30%+94000000,IF(BF8&gt;5000000000,(BF8-5000000000)*35%+1444000000)))))</f>
        <v>0</v>
      </c>
      <c r="BH8" s="148">
        <f>AJ8</f>
        <v>0</v>
      </c>
      <c r="BI8" s="83">
        <f>ROUND(BG8-BH8,0)</f>
        <v>0</v>
      </c>
      <c r="BJ8" s="35"/>
      <c r="BK8" s="159">
        <f>INT((+BE8-AO8)/1000)*1000</f>
        <v>0</v>
      </c>
      <c r="BL8" s="146">
        <f>IF(BK8&lt;57000000,BK8*5/95,IF(BK8&gt;406000000,((+BK8-406000000)*30/70)+94000000,IF(218500000&lt;BK8&lt;=406000000,((BK8-218500000)*25/75)+31500000,IF(218500000=BK8&gt;57000000,((BK8-57000000)*15/85)+3000000))))</f>
        <v>0</v>
      </c>
      <c r="BM8" s="145"/>
      <c r="BN8" s="160">
        <f>BG8-BM8</f>
        <v>0</v>
      </c>
      <c r="BO8" s="35"/>
      <c r="BP8" s="262">
        <f t="shared" ref="BP8:BP38" si="2">$BQ$3</f>
        <v>12</v>
      </c>
      <c r="BQ8" s="250">
        <f>$BQ$4</f>
        <v>2024</v>
      </c>
      <c r="BR8" s="250">
        <f t="shared" ref="BR8:BR38" si="3">$BQ$5</f>
        <v>0</v>
      </c>
      <c r="BS8" s="250">
        <f>F8</f>
        <v>0</v>
      </c>
      <c r="BT8" s="250">
        <f>H8</f>
        <v>0</v>
      </c>
      <c r="BU8" s="250" t="s">
        <v>150</v>
      </c>
      <c r="BV8" s="263">
        <f>ROUND(AL8,0)</f>
        <v>0</v>
      </c>
      <c r="BW8" s="264">
        <f>ROUND(BI8,0)</f>
        <v>0</v>
      </c>
      <c r="BX8" s="250"/>
      <c r="BY8" s="260"/>
      <c r="BZ8" s="265">
        <f>BQ3</f>
        <v>12</v>
      </c>
      <c r="CA8" s="265">
        <f>BQ4</f>
        <v>2024</v>
      </c>
      <c r="CB8" s="265">
        <v>0</v>
      </c>
      <c r="CC8" s="265" t="s">
        <v>187</v>
      </c>
      <c r="CD8" s="265">
        <v>1</v>
      </c>
      <c r="CE8" s="265">
        <v>12</v>
      </c>
      <c r="CF8" s="265">
        <f>F8</f>
        <v>0</v>
      </c>
      <c r="CG8" s="266">
        <f>IFERROR(C8,"")</f>
        <v>0</v>
      </c>
      <c r="CH8" s="265">
        <f>H8</f>
        <v>0</v>
      </c>
      <c r="CI8" s="266" t="str">
        <f>J8</f>
        <v>Jawa Barat</v>
      </c>
      <c r="CJ8" s="265">
        <f>I8</f>
        <v>0</v>
      </c>
      <c r="CK8" s="266" t="str">
        <f>D8</f>
        <v>K</v>
      </c>
      <c r="CL8" s="265">
        <f>E8</f>
        <v>0</v>
      </c>
      <c r="CM8" s="265">
        <f>K8</f>
        <v>0</v>
      </c>
      <c r="CN8" s="265" t="s">
        <v>189</v>
      </c>
      <c r="CO8" s="265"/>
      <c r="CP8" s="265" t="s">
        <v>150</v>
      </c>
      <c r="CQ8" s="267">
        <f>ROUND(AN8,0)</f>
        <v>0</v>
      </c>
      <c r="CR8" s="267">
        <f>ROUND(AO8,0)</f>
        <v>0</v>
      </c>
      <c r="CS8" s="267">
        <f>ROUND(AP8,0)</f>
        <v>0</v>
      </c>
      <c r="CT8" s="267">
        <f>ROUND(AR8,0)</f>
        <v>0</v>
      </c>
      <c r="CU8" s="267">
        <f>ROUND(AQ8,0)</f>
        <v>0</v>
      </c>
      <c r="CV8" s="267">
        <f>ROUND(AS8,0)</f>
        <v>0</v>
      </c>
      <c r="CW8" s="267">
        <f>ROUND(AU8,0)</f>
        <v>0</v>
      </c>
      <c r="CX8" s="267">
        <f>ROUND(AV8,0)</f>
        <v>0</v>
      </c>
      <c r="CY8" s="267">
        <f>ROUND(AW8,0)</f>
        <v>0</v>
      </c>
      <c r="CZ8" s="267">
        <f>ROUND(BA8,0)</f>
        <v>0</v>
      </c>
      <c r="DA8" s="267">
        <f>ROUND(BB8,0)</f>
        <v>0</v>
      </c>
      <c r="DB8" s="267">
        <f>ROUND(BC8,0)</f>
        <v>0</v>
      </c>
      <c r="DC8" s="265">
        <v>0</v>
      </c>
      <c r="DD8" s="267">
        <f>ROUND(DB8-DC8,0)</f>
        <v>0</v>
      </c>
      <c r="DE8" s="267">
        <f>ROUND(BD8,0)</f>
        <v>54000000</v>
      </c>
      <c r="DF8" s="267">
        <f>ROUND(BE8,0)</f>
        <v>0</v>
      </c>
      <c r="DG8" s="267">
        <f>ROUND(BG8,0)</f>
        <v>0</v>
      </c>
      <c r="DH8" s="265">
        <v>0</v>
      </c>
      <c r="DI8" s="267">
        <f>ROUND(BG8,0)</f>
        <v>0</v>
      </c>
      <c r="DJ8" s="267">
        <f>ROUND(DI8,0)</f>
        <v>0</v>
      </c>
      <c r="DK8" s="265"/>
      <c r="DL8" s="265">
        <f>F8</f>
        <v>0</v>
      </c>
      <c r="DM8" s="265">
        <f>H8</f>
        <v>0</v>
      </c>
      <c r="DN8" s="268"/>
    </row>
    <row r="9" spans="1:118" customFormat="1" ht="15" customHeight="1" x14ac:dyDescent="0.35">
      <c r="A9" s="52">
        <v>2</v>
      </c>
      <c r="B9" s="53"/>
      <c r="C9" s="73">
        <f>'Data Gaji'!C8</f>
        <v>0</v>
      </c>
      <c r="D9" s="54" t="s">
        <v>191</v>
      </c>
      <c r="E9" s="55">
        <v>0</v>
      </c>
      <c r="F9" s="279">
        <f>'Data Gaji'!E8</f>
        <v>0</v>
      </c>
      <c r="G9" s="56" t="str">
        <f t="shared" si="0"/>
        <v>N</v>
      </c>
      <c r="H9" s="277">
        <f>'Data Gaji'!G8</f>
        <v>0</v>
      </c>
      <c r="I9" s="58">
        <f>'Data Gaji'!H8</f>
        <v>0</v>
      </c>
      <c r="J9" s="54" t="s">
        <v>224</v>
      </c>
      <c r="K9" s="59">
        <f>'Data Gaji'!J8</f>
        <v>0</v>
      </c>
      <c r="L9" s="180">
        <f>'Jan-Nov'!K8</f>
        <v>0</v>
      </c>
      <c r="M9" s="182">
        <f>'Jan-Nov'!S8</f>
        <v>0</v>
      </c>
      <c r="N9" s="86">
        <f>'Jan-Nov'!U8</f>
        <v>0</v>
      </c>
      <c r="O9" s="87">
        <f>'Jan-Nov'!Z8</f>
        <v>0</v>
      </c>
      <c r="P9" s="87">
        <f>'Jan-Nov'!AB8</f>
        <v>0</v>
      </c>
      <c r="Q9" s="85">
        <f>'Jan-Nov'!AD8</f>
        <v>0</v>
      </c>
      <c r="R9" s="88">
        <f>'Jan-Nov'!AI8</f>
        <v>0</v>
      </c>
      <c r="S9" s="89">
        <f>'Jan-Nov'!AK8</f>
        <v>0</v>
      </c>
      <c r="T9" s="87">
        <f>'Jan-Nov'!AP8</f>
        <v>0</v>
      </c>
      <c r="U9" s="87">
        <f>'Jan-Nov'!AR8</f>
        <v>0</v>
      </c>
      <c r="V9" s="89">
        <f>'Jan-Nov'!AW8</f>
        <v>0</v>
      </c>
      <c r="W9" s="89">
        <f>'Jan-Nov'!AY8</f>
        <v>0</v>
      </c>
      <c r="X9" s="89">
        <f>'Jan-Nov'!BD8</f>
        <v>0</v>
      </c>
      <c r="Y9" s="89">
        <f>'Jan-Nov'!BF8</f>
        <v>0</v>
      </c>
      <c r="Z9" s="86">
        <f>'Jan-Nov'!BK8</f>
        <v>0</v>
      </c>
      <c r="AA9" s="86">
        <f>'Jan-Nov'!BM8</f>
        <v>0</v>
      </c>
      <c r="AB9" s="87">
        <f>'Jan-Nov'!BR8</f>
        <v>0</v>
      </c>
      <c r="AC9" s="87">
        <f>'Jan-Nov'!BT8</f>
        <v>0</v>
      </c>
      <c r="AD9" s="85">
        <f>'Jan-Nov'!BY8</f>
        <v>0</v>
      </c>
      <c r="AE9" s="88">
        <f>'Jan-Nov'!CA8</f>
        <v>0</v>
      </c>
      <c r="AF9" s="89">
        <f>'Jan-Nov'!CF8</f>
        <v>0</v>
      </c>
      <c r="AG9" s="87">
        <f>'Jan-Nov'!CH8</f>
        <v>0</v>
      </c>
      <c r="AH9" s="85">
        <f>'Jan-Nov'!CM8</f>
        <v>0</v>
      </c>
      <c r="AI9" s="126">
        <f t="shared" ref="AI9:AI24" si="4">M9+O9+Q9+S9+U9+W9+Y9+AA9+AC9+AE9+AG9</f>
        <v>0</v>
      </c>
      <c r="AJ9" s="90">
        <f t="shared" ref="AJ9:AJ24" si="5">N9+P9+R9+T9+V9+X9+Z9+AB9+AD9+AF9+AH9</f>
        <v>0</v>
      </c>
      <c r="AK9" s="123"/>
      <c r="AL9" s="126">
        <f>'Data Gaji'!LG8</f>
        <v>0</v>
      </c>
      <c r="AM9" s="128">
        <f>'Jan-Nov'!CQ8</f>
        <v>0</v>
      </c>
      <c r="AN9" s="125">
        <f>AL9*12</f>
        <v>0</v>
      </c>
      <c r="AO9" s="77">
        <f t="shared" ref="AO9:AO24" si="6">BM9</f>
        <v>0</v>
      </c>
      <c r="AP9" s="77">
        <f>'Data Gaji'!LO8</f>
        <v>0</v>
      </c>
      <c r="AQ9" s="77">
        <f>'Data Gaji'!LF8*12</f>
        <v>0</v>
      </c>
      <c r="AR9" s="77"/>
      <c r="AS9" s="77"/>
      <c r="AT9" s="75">
        <f t="shared" ref="AT9:AT24" si="7">SUM(AN9:AS9)</f>
        <v>0</v>
      </c>
      <c r="AU9" s="82"/>
      <c r="AV9" s="84">
        <f t="shared" ref="AV9:AV24" si="8">AT9+AU9</f>
        <v>0</v>
      </c>
      <c r="AW9" s="76">
        <f t="shared" ref="AW9:AW24" si="9">IF(AT9*5%&gt;6000000,6000000,AT9*5%)</f>
        <v>0</v>
      </c>
      <c r="AX9" s="77">
        <f t="shared" ref="AX9:AX24" si="10">IF((AW9+AU9*5%)&gt;=6000000,0,AU9*5%)</f>
        <v>0</v>
      </c>
      <c r="AY9" s="77"/>
      <c r="AZ9" s="77"/>
      <c r="BA9" s="77"/>
      <c r="BB9" s="74">
        <f t="shared" ref="BB9:BB24" si="11">AW9+AX9+BA9</f>
        <v>0</v>
      </c>
      <c r="BC9" s="78">
        <f t="shared" ref="BC9:BC24" si="12">AV9-BB9</f>
        <v>0</v>
      </c>
      <c r="BD9" s="79">
        <f t="shared" si="1"/>
        <v>54000000</v>
      </c>
      <c r="BE9" s="80">
        <f t="shared" ref="BE9:BE38" si="13">IF(BC9&lt;BD9,0,+BC9-BD9)</f>
        <v>0</v>
      </c>
      <c r="BF9" s="81">
        <f t="shared" ref="BF9:BF38" si="14">INT((BE9)/1000)*1000</f>
        <v>0</v>
      </c>
      <c r="BG9" s="157">
        <f t="shared" ref="BG9:BG38" si="15">IF(BF9&lt;=60000000,BF9*5%,IF(BF9&lt;=250000000,(BF9-50000000)*15%+3000000,IF(BF9&lt;=500000000,(BF9-250000000)*25%+31500000,IF(BF9&gt;500000000,(BF9-500000000)*30%+94000000,IF(BF9&gt;5000000000,(BF9-5000000000)*35%+1444000000)))))</f>
        <v>0</v>
      </c>
      <c r="BH9" s="148">
        <f t="shared" ref="BH9:BH38" si="16">AJ9</f>
        <v>0</v>
      </c>
      <c r="BI9" s="83">
        <f t="shared" ref="BI9:BI38" si="17">ROUND(BG9-BH9,0)</f>
        <v>0</v>
      </c>
      <c r="BJ9" s="35"/>
      <c r="BK9" s="159">
        <f t="shared" ref="BK9:BK38" si="18">INT((+BE9-AO9)/1000)*1000</f>
        <v>0</v>
      </c>
      <c r="BL9" s="146">
        <f t="shared" ref="BL9:BL38" si="19">IF(BK9&lt;57000000,BK9*5/95,IF(BK9&gt;406000000,((+BK9-406000000)*30/70)+94000000,IF(218500000&lt;BK9&lt;=406000000,((BK9-218500000)*25/75)+31500000,IF(218500000=BK9&gt;57000000,((BK9-57000000)*15/85)+3000000))))</f>
        <v>0</v>
      </c>
      <c r="BM9" s="145"/>
      <c r="BN9" s="160">
        <f t="shared" ref="BN9:BN38" si="20">BG9-BM9</f>
        <v>0</v>
      </c>
      <c r="BO9" s="35"/>
      <c r="BP9" s="262">
        <f t="shared" si="2"/>
        <v>12</v>
      </c>
      <c r="BQ9" s="250">
        <f t="shared" ref="BQ9:BQ38" si="21">$BQ$4</f>
        <v>2024</v>
      </c>
      <c r="BR9" s="250">
        <f t="shared" si="3"/>
        <v>0</v>
      </c>
      <c r="BS9" s="250">
        <f t="shared" ref="BS9:BS38" si="22">F9</f>
        <v>0</v>
      </c>
      <c r="BT9" s="250">
        <f t="shared" ref="BT9:BT38" si="23">H9</f>
        <v>0</v>
      </c>
      <c r="BU9" s="250" t="s">
        <v>150</v>
      </c>
      <c r="BV9" s="263">
        <f t="shared" ref="BV9:BV32" si="24">ROUND(AL9,0)</f>
        <v>0</v>
      </c>
      <c r="BW9" s="264">
        <f t="shared" ref="BW9:BW32" si="25">ROUND(BI9,0)</f>
        <v>0</v>
      </c>
      <c r="BX9" s="250"/>
      <c r="BY9" s="260"/>
      <c r="BZ9" s="265">
        <f>BZ8</f>
        <v>12</v>
      </c>
      <c r="CA9" s="265">
        <f>CA8</f>
        <v>2024</v>
      </c>
      <c r="CB9" s="265">
        <v>0</v>
      </c>
      <c r="CC9" s="265" t="s">
        <v>190</v>
      </c>
      <c r="CD9" s="265">
        <v>1</v>
      </c>
      <c r="CE9" s="265">
        <v>12</v>
      </c>
      <c r="CF9" s="265">
        <f t="shared" ref="CF9:CF38" si="26">F9</f>
        <v>0</v>
      </c>
      <c r="CG9" s="266">
        <f>IFERROR(C9,"")</f>
        <v>0</v>
      </c>
      <c r="CH9" s="265">
        <f t="shared" ref="CH9:CH38" si="27">H9</f>
        <v>0</v>
      </c>
      <c r="CI9" s="266" t="str">
        <f t="shared" ref="CI9:CI38" si="28">J9</f>
        <v>Jawa Barat</v>
      </c>
      <c r="CJ9" s="265">
        <f t="shared" ref="CJ9:CJ38" si="29">I9</f>
        <v>0</v>
      </c>
      <c r="CK9" s="266" t="str">
        <f t="shared" ref="CK9:CK38" si="30">D9</f>
        <v>TK</v>
      </c>
      <c r="CL9" s="265">
        <f t="shared" ref="CL9:CL38" si="31">E9</f>
        <v>0</v>
      </c>
      <c r="CM9" s="265">
        <f t="shared" ref="CM9:CM38" si="32">K9</f>
        <v>0</v>
      </c>
      <c r="CN9" s="265" t="s">
        <v>189</v>
      </c>
      <c r="CO9" s="265"/>
      <c r="CP9" s="265" t="s">
        <v>151</v>
      </c>
      <c r="CQ9" s="267">
        <f t="shared" ref="CQ9:CQ38" si="33">ROUND(AN9,0)</f>
        <v>0</v>
      </c>
      <c r="CR9" s="267">
        <f t="shared" ref="CR9:CR38" si="34">ROUND(AO9,0)</f>
        <v>0</v>
      </c>
      <c r="CS9" s="267">
        <f t="shared" ref="CS9:CS38" si="35">ROUND(AP9,0)</f>
        <v>0</v>
      </c>
      <c r="CT9" s="267">
        <f t="shared" ref="CT9:CT38" si="36">ROUND(AR9,0)</f>
        <v>0</v>
      </c>
      <c r="CU9" s="267">
        <f t="shared" ref="CU9:CU38" si="37">ROUND(AQ9,0)</f>
        <v>0</v>
      </c>
      <c r="CV9" s="267">
        <f t="shared" ref="CV9:CV38" si="38">ROUND(AS9,0)</f>
        <v>0</v>
      </c>
      <c r="CW9" s="267">
        <f t="shared" ref="CW9:CW38" si="39">ROUND(AU9,0)</f>
        <v>0</v>
      </c>
      <c r="CX9" s="267">
        <f t="shared" ref="CX9:CX38" si="40">ROUND(AV9,0)</f>
        <v>0</v>
      </c>
      <c r="CY9" s="267">
        <f t="shared" ref="CY9:CY38" si="41">ROUND(AW9,0)</f>
        <v>0</v>
      </c>
      <c r="CZ9" s="267">
        <f t="shared" ref="CZ9:CZ38" si="42">ROUND(BA9,0)</f>
        <v>0</v>
      </c>
      <c r="DA9" s="267">
        <f t="shared" ref="DA9:DA38" si="43">ROUND(BB9,0)</f>
        <v>0</v>
      </c>
      <c r="DB9" s="267">
        <f t="shared" ref="DB9:DB38" si="44">ROUND(BC9,0)</f>
        <v>0</v>
      </c>
      <c r="DC9" s="265">
        <v>1</v>
      </c>
      <c r="DD9" s="267">
        <f t="shared" ref="DD9:DD38" si="45">ROUND(DB9-DC9,0)</f>
        <v>-1</v>
      </c>
      <c r="DE9" s="267">
        <f t="shared" ref="DE9:DE38" si="46">ROUND(BD9,0)</f>
        <v>54000000</v>
      </c>
      <c r="DF9" s="267">
        <f t="shared" ref="DF9:DF38" si="47">ROUND(BE9,0)</f>
        <v>0</v>
      </c>
      <c r="DG9" s="267">
        <f t="shared" ref="DG9:DG38" si="48">ROUND(BG9,0)</f>
        <v>0</v>
      </c>
      <c r="DH9" s="265">
        <v>1</v>
      </c>
      <c r="DI9" s="267">
        <f t="shared" ref="DI9:DI38" si="49">ROUND(BG9,0)</f>
        <v>0</v>
      </c>
      <c r="DJ9" s="267">
        <f t="shared" ref="DJ9:DJ38" si="50">ROUND(DI9,0)</f>
        <v>0</v>
      </c>
      <c r="DK9" s="265"/>
      <c r="DL9" s="265">
        <f>DL8</f>
        <v>0</v>
      </c>
      <c r="DM9" s="265">
        <f>DM8</f>
        <v>0</v>
      </c>
      <c r="DN9" s="268"/>
    </row>
    <row r="10" spans="1:118" customFormat="1" ht="15" customHeight="1" x14ac:dyDescent="0.35">
      <c r="A10" s="52">
        <v>3</v>
      </c>
      <c r="B10" s="53"/>
      <c r="C10" s="73">
        <f>'Data Gaji'!C9</f>
        <v>0</v>
      </c>
      <c r="D10" s="73" t="s">
        <v>188</v>
      </c>
      <c r="E10" s="55">
        <v>0</v>
      </c>
      <c r="F10" s="279">
        <f>'Data Gaji'!E9</f>
        <v>0</v>
      </c>
      <c r="G10" s="56" t="str">
        <f t="shared" si="0"/>
        <v>N</v>
      </c>
      <c r="H10" s="277">
        <f>'Data Gaji'!G9</f>
        <v>0</v>
      </c>
      <c r="I10" s="58">
        <f>'Data Gaji'!H9</f>
        <v>0</v>
      </c>
      <c r="J10" s="54" t="s">
        <v>222</v>
      </c>
      <c r="K10" s="59">
        <f>'Data Gaji'!J9</f>
        <v>0</v>
      </c>
      <c r="L10" s="180">
        <f>'Jan-Nov'!K9</f>
        <v>0</v>
      </c>
      <c r="M10" s="182">
        <f>'Jan-Nov'!S9</f>
        <v>0</v>
      </c>
      <c r="N10" s="86">
        <f>'Jan-Nov'!U9</f>
        <v>0</v>
      </c>
      <c r="O10" s="87">
        <f>'Jan-Nov'!Z9</f>
        <v>0</v>
      </c>
      <c r="P10" s="87">
        <f>'Jan-Nov'!AB9</f>
        <v>0</v>
      </c>
      <c r="Q10" s="85">
        <f>'Jan-Nov'!AD9</f>
        <v>0</v>
      </c>
      <c r="R10" s="88">
        <f>'Jan-Nov'!AI9</f>
        <v>0</v>
      </c>
      <c r="S10" s="89">
        <f>'Jan-Nov'!AK9</f>
        <v>0</v>
      </c>
      <c r="T10" s="87">
        <f>'Jan-Nov'!AP9</f>
        <v>0</v>
      </c>
      <c r="U10" s="87">
        <f>'Jan-Nov'!AR9</f>
        <v>0</v>
      </c>
      <c r="V10" s="89">
        <f>'Jan-Nov'!AW9</f>
        <v>0</v>
      </c>
      <c r="W10" s="89">
        <f>'Jan-Nov'!AY9</f>
        <v>0</v>
      </c>
      <c r="X10" s="89">
        <f>'Jan-Nov'!BD9</f>
        <v>0</v>
      </c>
      <c r="Y10" s="89">
        <f>'Jan-Nov'!BF9</f>
        <v>0</v>
      </c>
      <c r="Z10" s="86">
        <f>'Jan-Nov'!BK9</f>
        <v>0</v>
      </c>
      <c r="AA10" s="86">
        <f>'Jan-Nov'!BM9</f>
        <v>0</v>
      </c>
      <c r="AB10" s="87">
        <f>'Jan-Nov'!BR9</f>
        <v>0</v>
      </c>
      <c r="AC10" s="87">
        <f>'Jan-Nov'!BT9</f>
        <v>0</v>
      </c>
      <c r="AD10" s="85">
        <f>'Jan-Nov'!BY9</f>
        <v>0</v>
      </c>
      <c r="AE10" s="88">
        <f>'Jan-Nov'!CA9</f>
        <v>0</v>
      </c>
      <c r="AF10" s="89">
        <f>'Jan-Nov'!CF9</f>
        <v>0</v>
      </c>
      <c r="AG10" s="87">
        <f>'Jan-Nov'!CH9</f>
        <v>0</v>
      </c>
      <c r="AH10" s="85">
        <f>'Jan-Nov'!CM9</f>
        <v>0</v>
      </c>
      <c r="AI10" s="126">
        <f t="shared" si="4"/>
        <v>0</v>
      </c>
      <c r="AJ10" s="90">
        <f t="shared" si="5"/>
        <v>0</v>
      </c>
      <c r="AK10" s="123"/>
      <c r="AL10" s="126">
        <f>'Data Gaji'!LG9</f>
        <v>0</v>
      </c>
      <c r="AM10" s="128">
        <f>'Jan-Nov'!CQ9</f>
        <v>0</v>
      </c>
      <c r="AN10" s="125">
        <f t="shared" ref="AN10:AN19" si="51">AL10*12</f>
        <v>0</v>
      </c>
      <c r="AO10" s="77">
        <f t="shared" si="6"/>
        <v>0</v>
      </c>
      <c r="AP10" s="77">
        <f>'Data Gaji'!LO9</f>
        <v>0</v>
      </c>
      <c r="AQ10" s="77">
        <f>'Data Gaji'!LF9*12</f>
        <v>0</v>
      </c>
      <c r="AR10" s="77"/>
      <c r="AS10" s="77"/>
      <c r="AT10" s="75">
        <f t="shared" si="7"/>
        <v>0</v>
      </c>
      <c r="AU10" s="82"/>
      <c r="AV10" s="84">
        <f t="shared" si="8"/>
        <v>0</v>
      </c>
      <c r="AW10" s="76">
        <f t="shared" si="9"/>
        <v>0</v>
      </c>
      <c r="AX10" s="77">
        <f t="shared" si="10"/>
        <v>0</v>
      </c>
      <c r="AY10" s="77"/>
      <c r="AZ10" s="77"/>
      <c r="BA10" s="77"/>
      <c r="BB10" s="74">
        <f t="shared" si="11"/>
        <v>0</v>
      </c>
      <c r="BC10" s="78">
        <f t="shared" si="12"/>
        <v>0</v>
      </c>
      <c r="BD10" s="79">
        <f t="shared" si="1"/>
        <v>54000000</v>
      </c>
      <c r="BE10" s="80">
        <f t="shared" si="13"/>
        <v>0</v>
      </c>
      <c r="BF10" s="81">
        <f t="shared" si="14"/>
        <v>0</v>
      </c>
      <c r="BG10" s="157">
        <f t="shared" si="15"/>
        <v>0</v>
      </c>
      <c r="BH10" s="148">
        <f t="shared" si="16"/>
        <v>0</v>
      </c>
      <c r="BI10" s="83">
        <f t="shared" si="17"/>
        <v>0</v>
      </c>
      <c r="BJ10" s="35"/>
      <c r="BK10" s="159">
        <f t="shared" si="18"/>
        <v>0</v>
      </c>
      <c r="BL10" s="146">
        <f t="shared" si="19"/>
        <v>0</v>
      </c>
      <c r="BM10" s="145"/>
      <c r="BN10" s="160">
        <f t="shared" si="20"/>
        <v>0</v>
      </c>
      <c r="BO10" s="35"/>
      <c r="BP10" s="262">
        <f t="shared" si="2"/>
        <v>12</v>
      </c>
      <c r="BQ10" s="250">
        <f t="shared" si="21"/>
        <v>2024</v>
      </c>
      <c r="BR10" s="250">
        <f t="shared" si="3"/>
        <v>0</v>
      </c>
      <c r="BS10" s="250">
        <f t="shared" si="22"/>
        <v>0</v>
      </c>
      <c r="BT10" s="250">
        <f t="shared" si="23"/>
        <v>0</v>
      </c>
      <c r="BU10" s="250" t="s">
        <v>150</v>
      </c>
      <c r="BV10" s="263">
        <f t="shared" si="24"/>
        <v>0</v>
      </c>
      <c r="BW10" s="264">
        <f t="shared" si="25"/>
        <v>0</v>
      </c>
      <c r="BX10" s="250"/>
      <c r="BY10" s="260"/>
      <c r="BZ10" s="265">
        <v>12</v>
      </c>
      <c r="CA10" s="265">
        <v>2023</v>
      </c>
      <c r="CB10" s="265">
        <v>0</v>
      </c>
      <c r="CC10" s="265" t="s">
        <v>192</v>
      </c>
      <c r="CD10" s="265">
        <v>1</v>
      </c>
      <c r="CE10" s="265">
        <v>12</v>
      </c>
      <c r="CF10" s="265">
        <f t="shared" si="26"/>
        <v>0</v>
      </c>
      <c r="CG10" s="266">
        <f t="shared" ref="CG10:CG14" si="52">IFERROR(C10,"")</f>
        <v>0</v>
      </c>
      <c r="CH10" s="265">
        <f t="shared" si="27"/>
        <v>0</v>
      </c>
      <c r="CI10" s="266" t="str">
        <f t="shared" si="28"/>
        <v>Jawa Timur</v>
      </c>
      <c r="CJ10" s="265">
        <f t="shared" si="29"/>
        <v>0</v>
      </c>
      <c r="CK10" s="266" t="str">
        <f t="shared" si="30"/>
        <v>K</v>
      </c>
      <c r="CL10" s="265">
        <f t="shared" si="31"/>
        <v>0</v>
      </c>
      <c r="CM10" s="265">
        <f t="shared" si="32"/>
        <v>0</v>
      </c>
      <c r="CN10" s="265" t="s">
        <v>189</v>
      </c>
      <c r="CO10" s="265"/>
      <c r="CP10" s="265" t="s">
        <v>152</v>
      </c>
      <c r="CQ10" s="267">
        <f t="shared" si="33"/>
        <v>0</v>
      </c>
      <c r="CR10" s="267">
        <f t="shared" si="34"/>
        <v>0</v>
      </c>
      <c r="CS10" s="267">
        <f t="shared" si="35"/>
        <v>0</v>
      </c>
      <c r="CT10" s="267">
        <f t="shared" si="36"/>
        <v>0</v>
      </c>
      <c r="CU10" s="267">
        <f t="shared" si="37"/>
        <v>0</v>
      </c>
      <c r="CV10" s="267">
        <f t="shared" si="38"/>
        <v>0</v>
      </c>
      <c r="CW10" s="267">
        <f t="shared" si="39"/>
        <v>0</v>
      </c>
      <c r="CX10" s="267">
        <f t="shared" si="40"/>
        <v>0</v>
      </c>
      <c r="CY10" s="267">
        <f t="shared" si="41"/>
        <v>0</v>
      </c>
      <c r="CZ10" s="267">
        <f t="shared" si="42"/>
        <v>0</v>
      </c>
      <c r="DA10" s="267">
        <f t="shared" si="43"/>
        <v>0</v>
      </c>
      <c r="DB10" s="267">
        <f t="shared" si="44"/>
        <v>0</v>
      </c>
      <c r="DC10" s="265">
        <v>2</v>
      </c>
      <c r="DD10" s="267">
        <f t="shared" si="45"/>
        <v>-2</v>
      </c>
      <c r="DE10" s="267">
        <f t="shared" si="46"/>
        <v>54000000</v>
      </c>
      <c r="DF10" s="267">
        <f t="shared" si="47"/>
        <v>0</v>
      </c>
      <c r="DG10" s="267">
        <f t="shared" si="48"/>
        <v>0</v>
      </c>
      <c r="DH10" s="265">
        <v>2</v>
      </c>
      <c r="DI10" s="267">
        <f t="shared" si="49"/>
        <v>0</v>
      </c>
      <c r="DJ10" s="267">
        <f t="shared" si="50"/>
        <v>0</v>
      </c>
      <c r="DK10" s="265"/>
      <c r="DL10" s="265">
        <f t="shared" ref="DL10:DM39" si="53">DL9</f>
        <v>0</v>
      </c>
      <c r="DM10" s="265">
        <f t="shared" si="53"/>
        <v>0</v>
      </c>
      <c r="DN10" s="268"/>
    </row>
    <row r="11" spans="1:118" customFormat="1" ht="15" customHeight="1" x14ac:dyDescent="0.35">
      <c r="A11" s="52">
        <v>4</v>
      </c>
      <c r="B11" s="53"/>
      <c r="C11" s="73">
        <f>'Data Gaji'!C10</f>
        <v>0</v>
      </c>
      <c r="D11" s="73" t="s">
        <v>188</v>
      </c>
      <c r="E11" s="55">
        <v>0</v>
      </c>
      <c r="F11" s="279">
        <f>'Data Gaji'!E10</f>
        <v>0</v>
      </c>
      <c r="G11" s="56" t="str">
        <f t="shared" si="0"/>
        <v>N</v>
      </c>
      <c r="H11" s="277">
        <f>'Data Gaji'!G10</f>
        <v>0</v>
      </c>
      <c r="I11" s="58">
        <f>'Data Gaji'!H10</f>
        <v>0</v>
      </c>
      <c r="J11" s="54" t="s">
        <v>222</v>
      </c>
      <c r="K11" s="59">
        <f>'Data Gaji'!J10</f>
        <v>0</v>
      </c>
      <c r="L11" s="180">
        <f>'Jan-Nov'!K10</f>
        <v>0</v>
      </c>
      <c r="M11" s="182">
        <f>'Jan-Nov'!S10</f>
        <v>0</v>
      </c>
      <c r="N11" s="86">
        <f>'Jan-Nov'!U10</f>
        <v>0</v>
      </c>
      <c r="O11" s="87">
        <f>'Jan-Nov'!Z10</f>
        <v>0</v>
      </c>
      <c r="P11" s="87">
        <f>'Jan-Nov'!AB10</f>
        <v>0</v>
      </c>
      <c r="Q11" s="85">
        <f>'Jan-Nov'!AD10</f>
        <v>0</v>
      </c>
      <c r="R11" s="88">
        <f>'Jan-Nov'!AI10</f>
        <v>0</v>
      </c>
      <c r="S11" s="89">
        <f>'Jan-Nov'!AK10</f>
        <v>0</v>
      </c>
      <c r="T11" s="87">
        <f>'Jan-Nov'!AP10</f>
        <v>0</v>
      </c>
      <c r="U11" s="87">
        <f>'Jan-Nov'!AR10</f>
        <v>0</v>
      </c>
      <c r="V11" s="89">
        <f>'Jan-Nov'!AW10</f>
        <v>0</v>
      </c>
      <c r="W11" s="89">
        <f>'Jan-Nov'!AY10</f>
        <v>0</v>
      </c>
      <c r="X11" s="89">
        <f>'Jan-Nov'!BD10</f>
        <v>0</v>
      </c>
      <c r="Y11" s="89">
        <f>'Jan-Nov'!BF10</f>
        <v>0</v>
      </c>
      <c r="Z11" s="86">
        <f>'Jan-Nov'!BK10</f>
        <v>0</v>
      </c>
      <c r="AA11" s="86">
        <f>'Jan-Nov'!BM10</f>
        <v>0</v>
      </c>
      <c r="AB11" s="87">
        <f>'Jan-Nov'!BR10</f>
        <v>0</v>
      </c>
      <c r="AC11" s="87">
        <f>'Jan-Nov'!BT10</f>
        <v>0</v>
      </c>
      <c r="AD11" s="85">
        <f>'Jan-Nov'!BY10</f>
        <v>0</v>
      </c>
      <c r="AE11" s="88">
        <f>'Jan-Nov'!CA10</f>
        <v>0</v>
      </c>
      <c r="AF11" s="89">
        <f>'Jan-Nov'!CF10</f>
        <v>0</v>
      </c>
      <c r="AG11" s="87">
        <f>'Jan-Nov'!CH10</f>
        <v>0</v>
      </c>
      <c r="AH11" s="85">
        <f>'Jan-Nov'!CM10</f>
        <v>0</v>
      </c>
      <c r="AI11" s="126">
        <f t="shared" si="4"/>
        <v>0</v>
      </c>
      <c r="AJ11" s="90">
        <f t="shared" si="5"/>
        <v>0</v>
      </c>
      <c r="AK11" s="123"/>
      <c r="AL11" s="126">
        <f>'Data Gaji'!LG10</f>
        <v>0</v>
      </c>
      <c r="AM11" s="128">
        <f>'Jan-Nov'!CQ10</f>
        <v>0</v>
      </c>
      <c r="AN11" s="125">
        <f t="shared" si="51"/>
        <v>0</v>
      </c>
      <c r="AO11" s="77">
        <f t="shared" si="6"/>
        <v>0</v>
      </c>
      <c r="AP11" s="77">
        <f>'Data Gaji'!LO10</f>
        <v>0</v>
      </c>
      <c r="AQ11" s="77">
        <f>'Data Gaji'!LF10*12</f>
        <v>0</v>
      </c>
      <c r="AR11" s="77"/>
      <c r="AS11" s="77"/>
      <c r="AT11" s="75">
        <f t="shared" si="7"/>
        <v>0</v>
      </c>
      <c r="AU11" s="82"/>
      <c r="AV11" s="84">
        <f t="shared" si="8"/>
        <v>0</v>
      </c>
      <c r="AW11" s="76">
        <f t="shared" si="9"/>
        <v>0</v>
      </c>
      <c r="AX11" s="77">
        <f t="shared" si="10"/>
        <v>0</v>
      </c>
      <c r="AY11" s="77"/>
      <c r="AZ11" s="77"/>
      <c r="BA11" s="77"/>
      <c r="BB11" s="74">
        <f t="shared" si="11"/>
        <v>0</v>
      </c>
      <c r="BC11" s="78">
        <f t="shared" si="12"/>
        <v>0</v>
      </c>
      <c r="BD11" s="79">
        <f t="shared" si="1"/>
        <v>54000000</v>
      </c>
      <c r="BE11" s="80">
        <f t="shared" si="13"/>
        <v>0</v>
      </c>
      <c r="BF11" s="81">
        <f t="shared" si="14"/>
        <v>0</v>
      </c>
      <c r="BG11" s="157">
        <f t="shared" si="15"/>
        <v>0</v>
      </c>
      <c r="BH11" s="148">
        <f t="shared" si="16"/>
        <v>0</v>
      </c>
      <c r="BI11" s="83">
        <f t="shared" si="17"/>
        <v>0</v>
      </c>
      <c r="BJ11" s="35"/>
      <c r="BK11" s="159">
        <f t="shared" si="18"/>
        <v>0</v>
      </c>
      <c r="BL11" s="146">
        <f t="shared" si="19"/>
        <v>0</v>
      </c>
      <c r="BM11" s="145"/>
      <c r="BN11" s="160">
        <f t="shared" si="20"/>
        <v>0</v>
      </c>
      <c r="BO11" s="35"/>
      <c r="BP11" s="262">
        <f t="shared" si="2"/>
        <v>12</v>
      </c>
      <c r="BQ11" s="250">
        <f t="shared" si="21"/>
        <v>2024</v>
      </c>
      <c r="BR11" s="250">
        <f t="shared" si="3"/>
        <v>0</v>
      </c>
      <c r="BS11" s="250">
        <f t="shared" si="22"/>
        <v>0</v>
      </c>
      <c r="BT11" s="250">
        <f t="shared" si="23"/>
        <v>0</v>
      </c>
      <c r="BU11" s="250" t="s">
        <v>150</v>
      </c>
      <c r="BV11" s="263">
        <f t="shared" si="24"/>
        <v>0</v>
      </c>
      <c r="BW11" s="264">
        <f t="shared" si="25"/>
        <v>0</v>
      </c>
      <c r="BX11" s="250"/>
      <c r="BY11" s="260"/>
      <c r="BZ11" s="265">
        <v>12</v>
      </c>
      <c r="CA11" s="265">
        <v>2023</v>
      </c>
      <c r="CB11" s="265">
        <v>0</v>
      </c>
      <c r="CC11" s="265" t="s">
        <v>193</v>
      </c>
      <c r="CD11" s="265">
        <v>1</v>
      </c>
      <c r="CE11" s="265">
        <v>12</v>
      </c>
      <c r="CF11" s="265">
        <f t="shared" si="26"/>
        <v>0</v>
      </c>
      <c r="CG11" s="266">
        <f t="shared" si="52"/>
        <v>0</v>
      </c>
      <c r="CH11" s="265">
        <f t="shared" si="27"/>
        <v>0</v>
      </c>
      <c r="CI11" s="266" t="str">
        <f t="shared" si="28"/>
        <v>Jawa Timur</v>
      </c>
      <c r="CJ11" s="265">
        <f t="shared" si="29"/>
        <v>0</v>
      </c>
      <c r="CK11" s="266" t="str">
        <f t="shared" si="30"/>
        <v>K</v>
      </c>
      <c r="CL11" s="265">
        <f t="shared" si="31"/>
        <v>0</v>
      </c>
      <c r="CM11" s="265">
        <f t="shared" si="32"/>
        <v>0</v>
      </c>
      <c r="CN11" s="265" t="s">
        <v>189</v>
      </c>
      <c r="CO11" s="265"/>
      <c r="CP11" s="265" t="s">
        <v>153</v>
      </c>
      <c r="CQ11" s="267">
        <f t="shared" si="33"/>
        <v>0</v>
      </c>
      <c r="CR11" s="267">
        <f t="shared" si="34"/>
        <v>0</v>
      </c>
      <c r="CS11" s="267">
        <f t="shared" si="35"/>
        <v>0</v>
      </c>
      <c r="CT11" s="267">
        <f t="shared" si="36"/>
        <v>0</v>
      </c>
      <c r="CU11" s="267">
        <f t="shared" si="37"/>
        <v>0</v>
      </c>
      <c r="CV11" s="267">
        <f t="shared" si="38"/>
        <v>0</v>
      </c>
      <c r="CW11" s="267">
        <f t="shared" si="39"/>
        <v>0</v>
      </c>
      <c r="CX11" s="267">
        <f t="shared" si="40"/>
        <v>0</v>
      </c>
      <c r="CY11" s="267">
        <f t="shared" si="41"/>
        <v>0</v>
      </c>
      <c r="CZ11" s="267">
        <f t="shared" si="42"/>
        <v>0</v>
      </c>
      <c r="DA11" s="267">
        <f t="shared" si="43"/>
        <v>0</v>
      </c>
      <c r="DB11" s="267">
        <f t="shared" si="44"/>
        <v>0</v>
      </c>
      <c r="DC11" s="265">
        <v>3</v>
      </c>
      <c r="DD11" s="267">
        <f t="shared" si="45"/>
        <v>-3</v>
      </c>
      <c r="DE11" s="267">
        <f t="shared" si="46"/>
        <v>54000000</v>
      </c>
      <c r="DF11" s="267">
        <f t="shared" si="47"/>
        <v>0</v>
      </c>
      <c r="DG11" s="267">
        <f t="shared" si="48"/>
        <v>0</v>
      </c>
      <c r="DH11" s="265">
        <v>3</v>
      </c>
      <c r="DI11" s="267">
        <f t="shared" si="49"/>
        <v>0</v>
      </c>
      <c r="DJ11" s="267">
        <f t="shared" si="50"/>
        <v>0</v>
      </c>
      <c r="DK11" s="265"/>
      <c r="DL11" s="265">
        <f t="shared" si="53"/>
        <v>0</v>
      </c>
      <c r="DM11" s="265">
        <f t="shared" si="53"/>
        <v>0</v>
      </c>
      <c r="DN11" s="268"/>
    </row>
    <row r="12" spans="1:118" customFormat="1" ht="15" customHeight="1" x14ac:dyDescent="0.35">
      <c r="A12" s="52">
        <v>5</v>
      </c>
      <c r="B12" s="53"/>
      <c r="C12" s="73">
        <f>'Data Gaji'!C11</f>
        <v>0</v>
      </c>
      <c r="D12" s="54" t="s">
        <v>188</v>
      </c>
      <c r="E12" s="55">
        <v>1</v>
      </c>
      <c r="F12" s="279">
        <f>'Data Gaji'!E11</f>
        <v>0</v>
      </c>
      <c r="G12" s="56" t="str">
        <f t="shared" si="0"/>
        <v>N</v>
      </c>
      <c r="H12" s="277">
        <f>'Data Gaji'!G11</f>
        <v>0</v>
      </c>
      <c r="I12" s="58">
        <f>'Data Gaji'!H11</f>
        <v>0</v>
      </c>
      <c r="J12" s="54" t="s">
        <v>222</v>
      </c>
      <c r="K12" s="59">
        <f>'Data Gaji'!J11</f>
        <v>0</v>
      </c>
      <c r="L12" s="180">
        <f>'Jan-Nov'!K11</f>
        <v>0</v>
      </c>
      <c r="M12" s="182">
        <f>'Jan-Nov'!S11</f>
        <v>0</v>
      </c>
      <c r="N12" s="86">
        <f>'Jan-Nov'!U11</f>
        <v>0</v>
      </c>
      <c r="O12" s="87">
        <f>'Jan-Nov'!Z11</f>
        <v>0</v>
      </c>
      <c r="P12" s="87">
        <f>'Jan-Nov'!AB11</f>
        <v>0</v>
      </c>
      <c r="Q12" s="85">
        <f>'Jan-Nov'!AD11</f>
        <v>0</v>
      </c>
      <c r="R12" s="88">
        <f>'Jan-Nov'!AI11</f>
        <v>0</v>
      </c>
      <c r="S12" s="89">
        <f>'Jan-Nov'!AK11</f>
        <v>0</v>
      </c>
      <c r="T12" s="87">
        <f>'Jan-Nov'!AP11</f>
        <v>0</v>
      </c>
      <c r="U12" s="87">
        <f>'Jan-Nov'!AR11</f>
        <v>0</v>
      </c>
      <c r="V12" s="89">
        <f>'Jan-Nov'!AW11</f>
        <v>0</v>
      </c>
      <c r="W12" s="89">
        <f>'Jan-Nov'!AY11</f>
        <v>0</v>
      </c>
      <c r="X12" s="89">
        <f>'Jan-Nov'!BD11</f>
        <v>0</v>
      </c>
      <c r="Y12" s="89">
        <f>'Jan-Nov'!BF11</f>
        <v>0</v>
      </c>
      <c r="Z12" s="86">
        <f>'Jan-Nov'!BK11</f>
        <v>0</v>
      </c>
      <c r="AA12" s="86">
        <f>'Jan-Nov'!BM11</f>
        <v>0</v>
      </c>
      <c r="AB12" s="87">
        <f>'Jan-Nov'!BR11</f>
        <v>0</v>
      </c>
      <c r="AC12" s="87">
        <f>'Jan-Nov'!BT11</f>
        <v>0</v>
      </c>
      <c r="AD12" s="85">
        <f>'Jan-Nov'!BY11</f>
        <v>0</v>
      </c>
      <c r="AE12" s="88">
        <f>'Jan-Nov'!CA11</f>
        <v>0</v>
      </c>
      <c r="AF12" s="89">
        <f>'Jan-Nov'!CF11</f>
        <v>0</v>
      </c>
      <c r="AG12" s="87">
        <f>'Jan-Nov'!CH11</f>
        <v>0</v>
      </c>
      <c r="AH12" s="85">
        <f>'Jan-Nov'!CM11</f>
        <v>0</v>
      </c>
      <c r="AI12" s="126">
        <f t="shared" si="4"/>
        <v>0</v>
      </c>
      <c r="AJ12" s="90">
        <f t="shared" si="5"/>
        <v>0</v>
      </c>
      <c r="AK12" s="123"/>
      <c r="AL12" s="126">
        <f>'Data Gaji'!LG11</f>
        <v>0</v>
      </c>
      <c r="AM12" s="128">
        <f>'Jan-Nov'!CQ11</f>
        <v>0</v>
      </c>
      <c r="AN12" s="125">
        <f t="shared" si="51"/>
        <v>0</v>
      </c>
      <c r="AO12" s="77">
        <f t="shared" si="6"/>
        <v>0</v>
      </c>
      <c r="AP12" s="77">
        <f>'Data Gaji'!LO11</f>
        <v>0</v>
      </c>
      <c r="AQ12" s="77">
        <f>'Data Gaji'!LF11*12</f>
        <v>0</v>
      </c>
      <c r="AR12" s="77"/>
      <c r="AS12" s="77"/>
      <c r="AT12" s="75">
        <f t="shared" si="7"/>
        <v>0</v>
      </c>
      <c r="AU12" s="82"/>
      <c r="AV12" s="84">
        <f t="shared" si="8"/>
        <v>0</v>
      </c>
      <c r="AW12" s="76">
        <f t="shared" si="9"/>
        <v>0</v>
      </c>
      <c r="AX12" s="77">
        <f t="shared" si="10"/>
        <v>0</v>
      </c>
      <c r="AY12" s="77"/>
      <c r="AZ12" s="77"/>
      <c r="BA12" s="77"/>
      <c r="BB12" s="74">
        <f t="shared" si="11"/>
        <v>0</v>
      </c>
      <c r="BC12" s="78">
        <f t="shared" si="12"/>
        <v>0</v>
      </c>
      <c r="BD12" s="79">
        <f t="shared" si="1"/>
        <v>54000000</v>
      </c>
      <c r="BE12" s="80">
        <f t="shared" si="13"/>
        <v>0</v>
      </c>
      <c r="BF12" s="81">
        <f t="shared" si="14"/>
        <v>0</v>
      </c>
      <c r="BG12" s="157">
        <f t="shared" si="15"/>
        <v>0</v>
      </c>
      <c r="BH12" s="148">
        <f t="shared" si="16"/>
        <v>0</v>
      </c>
      <c r="BI12" s="83">
        <f t="shared" si="17"/>
        <v>0</v>
      </c>
      <c r="BJ12" s="35"/>
      <c r="BK12" s="159">
        <f t="shared" si="18"/>
        <v>0</v>
      </c>
      <c r="BL12" s="146">
        <f t="shared" si="19"/>
        <v>0</v>
      </c>
      <c r="BM12" s="145"/>
      <c r="BN12" s="160">
        <f t="shared" si="20"/>
        <v>0</v>
      </c>
      <c r="BO12" s="35"/>
      <c r="BP12" s="262">
        <f t="shared" si="2"/>
        <v>12</v>
      </c>
      <c r="BQ12" s="250">
        <f t="shared" si="21"/>
        <v>2024</v>
      </c>
      <c r="BR12" s="250">
        <f t="shared" si="3"/>
        <v>0</v>
      </c>
      <c r="BS12" s="250">
        <f t="shared" si="22"/>
        <v>0</v>
      </c>
      <c r="BT12" s="250">
        <f t="shared" si="23"/>
        <v>0</v>
      </c>
      <c r="BU12" s="250" t="s">
        <v>150</v>
      </c>
      <c r="BV12" s="263">
        <f t="shared" si="24"/>
        <v>0</v>
      </c>
      <c r="BW12" s="264">
        <f t="shared" si="25"/>
        <v>0</v>
      </c>
      <c r="BX12" s="250"/>
      <c r="BY12" s="260"/>
      <c r="BZ12" s="265">
        <v>12</v>
      </c>
      <c r="CA12" s="265">
        <v>2023</v>
      </c>
      <c r="CB12" s="265">
        <v>0</v>
      </c>
      <c r="CC12" s="265" t="s">
        <v>194</v>
      </c>
      <c r="CD12" s="265">
        <v>1</v>
      </c>
      <c r="CE12" s="265">
        <v>12</v>
      </c>
      <c r="CF12" s="265">
        <f t="shared" si="26"/>
        <v>0</v>
      </c>
      <c r="CG12" s="266">
        <f t="shared" si="52"/>
        <v>0</v>
      </c>
      <c r="CH12" s="265">
        <f t="shared" si="27"/>
        <v>0</v>
      </c>
      <c r="CI12" s="266" t="str">
        <f t="shared" si="28"/>
        <v>Jawa Timur</v>
      </c>
      <c r="CJ12" s="265">
        <f t="shared" si="29"/>
        <v>0</v>
      </c>
      <c r="CK12" s="266" t="str">
        <f t="shared" si="30"/>
        <v>K</v>
      </c>
      <c r="CL12" s="265">
        <f t="shared" si="31"/>
        <v>1</v>
      </c>
      <c r="CM12" s="265">
        <f t="shared" si="32"/>
        <v>0</v>
      </c>
      <c r="CN12" s="265" t="s">
        <v>189</v>
      </c>
      <c r="CO12" s="265"/>
      <c r="CP12" s="265" t="s">
        <v>154</v>
      </c>
      <c r="CQ12" s="267">
        <f t="shared" si="33"/>
        <v>0</v>
      </c>
      <c r="CR12" s="267">
        <f t="shared" si="34"/>
        <v>0</v>
      </c>
      <c r="CS12" s="267">
        <f t="shared" si="35"/>
        <v>0</v>
      </c>
      <c r="CT12" s="267">
        <f t="shared" si="36"/>
        <v>0</v>
      </c>
      <c r="CU12" s="267">
        <f t="shared" si="37"/>
        <v>0</v>
      </c>
      <c r="CV12" s="267">
        <f t="shared" si="38"/>
        <v>0</v>
      </c>
      <c r="CW12" s="267">
        <f t="shared" si="39"/>
        <v>0</v>
      </c>
      <c r="CX12" s="267">
        <f t="shared" si="40"/>
        <v>0</v>
      </c>
      <c r="CY12" s="267">
        <f t="shared" si="41"/>
        <v>0</v>
      </c>
      <c r="CZ12" s="267">
        <f t="shared" si="42"/>
        <v>0</v>
      </c>
      <c r="DA12" s="267">
        <f t="shared" si="43"/>
        <v>0</v>
      </c>
      <c r="DB12" s="267">
        <f t="shared" si="44"/>
        <v>0</v>
      </c>
      <c r="DC12" s="265">
        <v>4</v>
      </c>
      <c r="DD12" s="267">
        <f t="shared" si="45"/>
        <v>-4</v>
      </c>
      <c r="DE12" s="267">
        <f t="shared" si="46"/>
        <v>54000000</v>
      </c>
      <c r="DF12" s="267">
        <f t="shared" si="47"/>
        <v>0</v>
      </c>
      <c r="DG12" s="267">
        <f t="shared" si="48"/>
        <v>0</v>
      </c>
      <c r="DH12" s="265">
        <v>4</v>
      </c>
      <c r="DI12" s="267">
        <f t="shared" si="49"/>
        <v>0</v>
      </c>
      <c r="DJ12" s="267">
        <f t="shared" si="50"/>
        <v>0</v>
      </c>
      <c r="DK12" s="265"/>
      <c r="DL12" s="265">
        <f t="shared" si="53"/>
        <v>0</v>
      </c>
      <c r="DM12" s="265">
        <f t="shared" si="53"/>
        <v>0</v>
      </c>
      <c r="DN12" s="268"/>
    </row>
    <row r="13" spans="1:118" customFormat="1" ht="15" customHeight="1" x14ac:dyDescent="0.35">
      <c r="A13" s="52">
        <v>6</v>
      </c>
      <c r="B13" s="53"/>
      <c r="C13" s="73">
        <f>'Data Gaji'!C12</f>
        <v>0</v>
      </c>
      <c r="D13" s="73" t="s">
        <v>188</v>
      </c>
      <c r="E13" s="55">
        <v>0</v>
      </c>
      <c r="F13" s="279">
        <f>'Data Gaji'!E12</f>
        <v>0</v>
      </c>
      <c r="G13" s="56" t="str">
        <f t="shared" si="0"/>
        <v>N</v>
      </c>
      <c r="H13" s="277">
        <f>'Data Gaji'!G12</f>
        <v>0</v>
      </c>
      <c r="I13" s="58">
        <f>'Data Gaji'!H12</f>
        <v>0</v>
      </c>
      <c r="J13" s="54" t="s">
        <v>222</v>
      </c>
      <c r="K13" s="59">
        <f>'Data Gaji'!J12</f>
        <v>0</v>
      </c>
      <c r="L13" s="180">
        <f>'Jan-Nov'!K12</f>
        <v>0</v>
      </c>
      <c r="M13" s="182">
        <f>'Jan-Nov'!S12</f>
        <v>0</v>
      </c>
      <c r="N13" s="86">
        <f>'Jan-Nov'!U12</f>
        <v>0</v>
      </c>
      <c r="O13" s="87">
        <f>'Jan-Nov'!Z12</f>
        <v>0</v>
      </c>
      <c r="P13" s="87">
        <f>'Jan-Nov'!AB12</f>
        <v>0</v>
      </c>
      <c r="Q13" s="85">
        <f>'Jan-Nov'!AD12</f>
        <v>0</v>
      </c>
      <c r="R13" s="88">
        <f>'Jan-Nov'!AI12</f>
        <v>0</v>
      </c>
      <c r="S13" s="89">
        <f>'Jan-Nov'!AK12</f>
        <v>0</v>
      </c>
      <c r="T13" s="87">
        <f>'Jan-Nov'!AP12</f>
        <v>0</v>
      </c>
      <c r="U13" s="87">
        <f>'Jan-Nov'!AR12</f>
        <v>0</v>
      </c>
      <c r="V13" s="89">
        <f>'Jan-Nov'!AW12</f>
        <v>0</v>
      </c>
      <c r="W13" s="89">
        <f>'Jan-Nov'!AY12</f>
        <v>0</v>
      </c>
      <c r="X13" s="89">
        <f>'Jan-Nov'!BD12</f>
        <v>0</v>
      </c>
      <c r="Y13" s="89">
        <f>'Jan-Nov'!BF12</f>
        <v>0</v>
      </c>
      <c r="Z13" s="86">
        <f>'Jan-Nov'!BK12</f>
        <v>0</v>
      </c>
      <c r="AA13" s="86">
        <f>'Jan-Nov'!BM12</f>
        <v>0</v>
      </c>
      <c r="AB13" s="87">
        <f>'Jan-Nov'!BR12</f>
        <v>0</v>
      </c>
      <c r="AC13" s="87">
        <f>'Jan-Nov'!BT12</f>
        <v>0</v>
      </c>
      <c r="AD13" s="85">
        <f>'Jan-Nov'!BY12</f>
        <v>0</v>
      </c>
      <c r="AE13" s="88">
        <f>'Jan-Nov'!CA12</f>
        <v>0</v>
      </c>
      <c r="AF13" s="89">
        <f>'Jan-Nov'!CF12</f>
        <v>0</v>
      </c>
      <c r="AG13" s="87">
        <f>'Jan-Nov'!CH12</f>
        <v>0</v>
      </c>
      <c r="AH13" s="85">
        <f>'Jan-Nov'!CM12</f>
        <v>0</v>
      </c>
      <c r="AI13" s="126">
        <f t="shared" si="4"/>
        <v>0</v>
      </c>
      <c r="AJ13" s="90">
        <f t="shared" si="5"/>
        <v>0</v>
      </c>
      <c r="AK13" s="123"/>
      <c r="AL13" s="126">
        <f>'Data Gaji'!LG12</f>
        <v>0</v>
      </c>
      <c r="AM13" s="128">
        <f>'Jan-Nov'!CQ12</f>
        <v>0</v>
      </c>
      <c r="AN13" s="125">
        <f t="shared" si="51"/>
        <v>0</v>
      </c>
      <c r="AO13" s="77">
        <f t="shared" si="6"/>
        <v>0</v>
      </c>
      <c r="AP13" s="77">
        <f>'Data Gaji'!LO12</f>
        <v>0</v>
      </c>
      <c r="AQ13" s="77">
        <f>'Data Gaji'!LF12*12</f>
        <v>0</v>
      </c>
      <c r="AR13" s="77"/>
      <c r="AS13" s="77"/>
      <c r="AT13" s="75">
        <f t="shared" si="7"/>
        <v>0</v>
      </c>
      <c r="AU13" s="82"/>
      <c r="AV13" s="84">
        <f t="shared" si="8"/>
        <v>0</v>
      </c>
      <c r="AW13" s="76">
        <f t="shared" si="9"/>
        <v>0</v>
      </c>
      <c r="AX13" s="77">
        <f t="shared" si="10"/>
        <v>0</v>
      </c>
      <c r="AY13" s="77"/>
      <c r="AZ13" s="77"/>
      <c r="BA13" s="77"/>
      <c r="BB13" s="74">
        <f t="shared" si="11"/>
        <v>0</v>
      </c>
      <c r="BC13" s="78">
        <f t="shared" si="12"/>
        <v>0</v>
      </c>
      <c r="BD13" s="79">
        <f t="shared" si="1"/>
        <v>54000000</v>
      </c>
      <c r="BE13" s="80">
        <f t="shared" si="13"/>
        <v>0</v>
      </c>
      <c r="BF13" s="81">
        <f t="shared" si="14"/>
        <v>0</v>
      </c>
      <c r="BG13" s="157">
        <f t="shared" si="15"/>
        <v>0</v>
      </c>
      <c r="BH13" s="148">
        <f t="shared" si="16"/>
        <v>0</v>
      </c>
      <c r="BI13" s="83">
        <f t="shared" si="17"/>
        <v>0</v>
      </c>
      <c r="BJ13" s="35"/>
      <c r="BK13" s="159">
        <f t="shared" si="18"/>
        <v>0</v>
      </c>
      <c r="BL13" s="146">
        <f t="shared" si="19"/>
        <v>0</v>
      </c>
      <c r="BM13" s="145"/>
      <c r="BN13" s="160">
        <f t="shared" si="20"/>
        <v>0</v>
      </c>
      <c r="BO13" s="35"/>
      <c r="BP13" s="262">
        <f t="shared" si="2"/>
        <v>12</v>
      </c>
      <c r="BQ13" s="250">
        <f t="shared" si="21"/>
        <v>2024</v>
      </c>
      <c r="BR13" s="250">
        <f t="shared" si="3"/>
        <v>0</v>
      </c>
      <c r="BS13" s="250">
        <f t="shared" si="22"/>
        <v>0</v>
      </c>
      <c r="BT13" s="250">
        <f t="shared" si="23"/>
        <v>0</v>
      </c>
      <c r="BU13" s="250" t="s">
        <v>150</v>
      </c>
      <c r="BV13" s="263">
        <f t="shared" si="24"/>
        <v>0</v>
      </c>
      <c r="BW13" s="264">
        <f t="shared" si="25"/>
        <v>0</v>
      </c>
      <c r="BX13" s="250"/>
      <c r="BY13" s="260"/>
      <c r="BZ13" s="265">
        <v>12</v>
      </c>
      <c r="CA13" s="265">
        <v>2023</v>
      </c>
      <c r="CB13" s="265">
        <v>0</v>
      </c>
      <c r="CC13" s="265" t="s">
        <v>195</v>
      </c>
      <c r="CD13" s="265">
        <v>1</v>
      </c>
      <c r="CE13" s="265">
        <v>12</v>
      </c>
      <c r="CF13" s="265">
        <f t="shared" si="26"/>
        <v>0</v>
      </c>
      <c r="CG13" s="266">
        <f t="shared" si="52"/>
        <v>0</v>
      </c>
      <c r="CH13" s="265">
        <f t="shared" si="27"/>
        <v>0</v>
      </c>
      <c r="CI13" s="266" t="str">
        <f t="shared" si="28"/>
        <v>Jawa Timur</v>
      </c>
      <c r="CJ13" s="265">
        <f t="shared" si="29"/>
        <v>0</v>
      </c>
      <c r="CK13" s="266" t="str">
        <f t="shared" si="30"/>
        <v>K</v>
      </c>
      <c r="CL13" s="265">
        <f t="shared" si="31"/>
        <v>0</v>
      </c>
      <c r="CM13" s="265">
        <f t="shared" si="32"/>
        <v>0</v>
      </c>
      <c r="CN13" s="265" t="s">
        <v>189</v>
      </c>
      <c r="CO13" s="265"/>
      <c r="CP13" s="265" t="s">
        <v>155</v>
      </c>
      <c r="CQ13" s="267">
        <f t="shared" si="33"/>
        <v>0</v>
      </c>
      <c r="CR13" s="267">
        <f t="shared" si="34"/>
        <v>0</v>
      </c>
      <c r="CS13" s="267">
        <f t="shared" si="35"/>
        <v>0</v>
      </c>
      <c r="CT13" s="267">
        <f t="shared" si="36"/>
        <v>0</v>
      </c>
      <c r="CU13" s="267">
        <f t="shared" si="37"/>
        <v>0</v>
      </c>
      <c r="CV13" s="267">
        <f t="shared" si="38"/>
        <v>0</v>
      </c>
      <c r="CW13" s="267">
        <f t="shared" si="39"/>
        <v>0</v>
      </c>
      <c r="CX13" s="267">
        <f t="shared" si="40"/>
        <v>0</v>
      </c>
      <c r="CY13" s="267">
        <f t="shared" si="41"/>
        <v>0</v>
      </c>
      <c r="CZ13" s="267">
        <f t="shared" si="42"/>
        <v>0</v>
      </c>
      <c r="DA13" s="267">
        <f t="shared" si="43"/>
        <v>0</v>
      </c>
      <c r="DB13" s="267">
        <f t="shared" si="44"/>
        <v>0</v>
      </c>
      <c r="DC13" s="265">
        <v>5</v>
      </c>
      <c r="DD13" s="267">
        <f t="shared" si="45"/>
        <v>-5</v>
      </c>
      <c r="DE13" s="267">
        <f t="shared" si="46"/>
        <v>54000000</v>
      </c>
      <c r="DF13" s="267">
        <f t="shared" si="47"/>
        <v>0</v>
      </c>
      <c r="DG13" s="267">
        <f t="shared" si="48"/>
        <v>0</v>
      </c>
      <c r="DH13" s="265">
        <v>5</v>
      </c>
      <c r="DI13" s="267">
        <f t="shared" si="49"/>
        <v>0</v>
      </c>
      <c r="DJ13" s="267">
        <f t="shared" si="50"/>
        <v>0</v>
      </c>
      <c r="DK13" s="265"/>
      <c r="DL13" s="265">
        <f t="shared" si="53"/>
        <v>0</v>
      </c>
      <c r="DM13" s="265">
        <f t="shared" si="53"/>
        <v>0</v>
      </c>
      <c r="DN13" s="268"/>
    </row>
    <row r="14" spans="1:118" customFormat="1" ht="15" customHeight="1" x14ac:dyDescent="0.35">
      <c r="A14" s="52">
        <v>7</v>
      </c>
      <c r="B14" s="53"/>
      <c r="C14" s="73">
        <f>'Data Gaji'!C13</f>
        <v>0</v>
      </c>
      <c r="D14" s="73" t="s">
        <v>188</v>
      </c>
      <c r="E14" s="55">
        <v>0</v>
      </c>
      <c r="F14" s="279">
        <f>'Data Gaji'!E13</f>
        <v>0</v>
      </c>
      <c r="G14" s="56" t="str">
        <f t="shared" si="0"/>
        <v>N</v>
      </c>
      <c r="H14" s="277">
        <f>'Data Gaji'!G13</f>
        <v>0</v>
      </c>
      <c r="I14" s="58">
        <f>'Data Gaji'!H13</f>
        <v>0</v>
      </c>
      <c r="J14" s="54" t="s">
        <v>222</v>
      </c>
      <c r="K14" s="59">
        <f>'Data Gaji'!J13</f>
        <v>0</v>
      </c>
      <c r="L14" s="180">
        <f>'Jan-Nov'!K13</f>
        <v>0</v>
      </c>
      <c r="M14" s="182">
        <f>'Jan-Nov'!S13</f>
        <v>0</v>
      </c>
      <c r="N14" s="86">
        <f>'Jan-Nov'!U13</f>
        <v>0</v>
      </c>
      <c r="O14" s="87">
        <f>'Jan-Nov'!Z13</f>
        <v>0</v>
      </c>
      <c r="P14" s="87">
        <f>'Jan-Nov'!AB13</f>
        <v>0</v>
      </c>
      <c r="Q14" s="85">
        <f>'Jan-Nov'!AD13</f>
        <v>0</v>
      </c>
      <c r="R14" s="88">
        <f>'Jan-Nov'!AI13</f>
        <v>0</v>
      </c>
      <c r="S14" s="89">
        <f>'Jan-Nov'!AK13</f>
        <v>0</v>
      </c>
      <c r="T14" s="87">
        <f>'Jan-Nov'!AP13</f>
        <v>0</v>
      </c>
      <c r="U14" s="87">
        <f>'Jan-Nov'!AR13</f>
        <v>0</v>
      </c>
      <c r="V14" s="89">
        <f>'Jan-Nov'!AW13</f>
        <v>0</v>
      </c>
      <c r="W14" s="89">
        <f>'Jan-Nov'!AY13</f>
        <v>0</v>
      </c>
      <c r="X14" s="89">
        <f>'Jan-Nov'!BD13</f>
        <v>0</v>
      </c>
      <c r="Y14" s="89">
        <f>'Jan-Nov'!BF13</f>
        <v>0</v>
      </c>
      <c r="Z14" s="86">
        <f>'Jan-Nov'!BK13</f>
        <v>0</v>
      </c>
      <c r="AA14" s="86">
        <f>'Jan-Nov'!BM13</f>
        <v>0</v>
      </c>
      <c r="AB14" s="87">
        <f>'Jan-Nov'!BR13</f>
        <v>0</v>
      </c>
      <c r="AC14" s="87">
        <f>'Jan-Nov'!BT13</f>
        <v>0</v>
      </c>
      <c r="AD14" s="85">
        <f>'Jan-Nov'!BY13</f>
        <v>0</v>
      </c>
      <c r="AE14" s="88">
        <f>'Jan-Nov'!CA13</f>
        <v>0</v>
      </c>
      <c r="AF14" s="89">
        <f>'Jan-Nov'!CF13</f>
        <v>0</v>
      </c>
      <c r="AG14" s="87">
        <f>'Jan-Nov'!CH13</f>
        <v>0</v>
      </c>
      <c r="AH14" s="85">
        <f>'Jan-Nov'!CM13</f>
        <v>0</v>
      </c>
      <c r="AI14" s="126">
        <f t="shared" si="4"/>
        <v>0</v>
      </c>
      <c r="AJ14" s="90">
        <f t="shared" si="5"/>
        <v>0</v>
      </c>
      <c r="AK14" s="123"/>
      <c r="AL14" s="126">
        <f>'Data Gaji'!LG13</f>
        <v>0</v>
      </c>
      <c r="AM14" s="128">
        <f>'Jan-Nov'!CQ13</f>
        <v>0</v>
      </c>
      <c r="AN14" s="125">
        <f t="shared" si="51"/>
        <v>0</v>
      </c>
      <c r="AO14" s="77">
        <f t="shared" si="6"/>
        <v>0</v>
      </c>
      <c r="AP14" s="77">
        <f>'Data Gaji'!LO13</f>
        <v>0</v>
      </c>
      <c r="AQ14" s="77">
        <f>'Data Gaji'!LF13*12</f>
        <v>0</v>
      </c>
      <c r="AR14" s="77"/>
      <c r="AS14" s="77"/>
      <c r="AT14" s="75">
        <f t="shared" si="7"/>
        <v>0</v>
      </c>
      <c r="AU14" s="82"/>
      <c r="AV14" s="84">
        <f t="shared" si="8"/>
        <v>0</v>
      </c>
      <c r="AW14" s="76">
        <f t="shared" si="9"/>
        <v>0</v>
      </c>
      <c r="AX14" s="77">
        <f t="shared" si="10"/>
        <v>0</v>
      </c>
      <c r="AY14" s="77"/>
      <c r="AZ14" s="77"/>
      <c r="BA14" s="77"/>
      <c r="BB14" s="74">
        <f t="shared" si="11"/>
        <v>0</v>
      </c>
      <c r="BC14" s="78">
        <f t="shared" si="12"/>
        <v>0</v>
      </c>
      <c r="BD14" s="79">
        <f t="shared" si="1"/>
        <v>54000000</v>
      </c>
      <c r="BE14" s="80">
        <f t="shared" si="13"/>
        <v>0</v>
      </c>
      <c r="BF14" s="81">
        <f t="shared" si="14"/>
        <v>0</v>
      </c>
      <c r="BG14" s="157">
        <f t="shared" si="15"/>
        <v>0</v>
      </c>
      <c r="BH14" s="148">
        <f t="shared" si="16"/>
        <v>0</v>
      </c>
      <c r="BI14" s="83">
        <f t="shared" si="17"/>
        <v>0</v>
      </c>
      <c r="BJ14" s="35"/>
      <c r="BK14" s="159">
        <f t="shared" si="18"/>
        <v>0</v>
      </c>
      <c r="BL14" s="146">
        <f t="shared" si="19"/>
        <v>0</v>
      </c>
      <c r="BM14" s="145"/>
      <c r="BN14" s="160">
        <f t="shared" si="20"/>
        <v>0</v>
      </c>
      <c r="BO14" s="35"/>
      <c r="BP14" s="262">
        <f t="shared" si="2"/>
        <v>12</v>
      </c>
      <c r="BQ14" s="250">
        <f t="shared" si="21"/>
        <v>2024</v>
      </c>
      <c r="BR14" s="250">
        <f t="shared" si="3"/>
        <v>0</v>
      </c>
      <c r="BS14" s="250">
        <f t="shared" si="22"/>
        <v>0</v>
      </c>
      <c r="BT14" s="250">
        <f t="shared" si="23"/>
        <v>0</v>
      </c>
      <c r="BU14" s="250" t="s">
        <v>150</v>
      </c>
      <c r="BV14" s="263">
        <f t="shared" si="24"/>
        <v>0</v>
      </c>
      <c r="BW14" s="264">
        <f t="shared" si="25"/>
        <v>0</v>
      </c>
      <c r="BX14" s="250"/>
      <c r="BY14" s="260"/>
      <c r="BZ14" s="265">
        <v>12</v>
      </c>
      <c r="CA14" s="265">
        <v>2023</v>
      </c>
      <c r="CB14" s="265">
        <v>0</v>
      </c>
      <c r="CC14" s="265" t="s">
        <v>196</v>
      </c>
      <c r="CD14" s="265">
        <v>1</v>
      </c>
      <c r="CE14" s="265">
        <v>12</v>
      </c>
      <c r="CF14" s="265">
        <f t="shared" si="26"/>
        <v>0</v>
      </c>
      <c r="CG14" s="266">
        <f t="shared" si="52"/>
        <v>0</v>
      </c>
      <c r="CH14" s="265">
        <f t="shared" si="27"/>
        <v>0</v>
      </c>
      <c r="CI14" s="266" t="str">
        <f t="shared" si="28"/>
        <v>Jawa Timur</v>
      </c>
      <c r="CJ14" s="265">
        <f t="shared" si="29"/>
        <v>0</v>
      </c>
      <c r="CK14" s="266" t="str">
        <f t="shared" si="30"/>
        <v>K</v>
      </c>
      <c r="CL14" s="265">
        <f t="shared" si="31"/>
        <v>0</v>
      </c>
      <c r="CM14" s="265">
        <f t="shared" si="32"/>
        <v>0</v>
      </c>
      <c r="CN14" s="265" t="s">
        <v>189</v>
      </c>
      <c r="CO14" s="265"/>
      <c r="CP14" s="265" t="s">
        <v>201</v>
      </c>
      <c r="CQ14" s="267">
        <f t="shared" si="33"/>
        <v>0</v>
      </c>
      <c r="CR14" s="267">
        <f t="shared" si="34"/>
        <v>0</v>
      </c>
      <c r="CS14" s="267">
        <f t="shared" si="35"/>
        <v>0</v>
      </c>
      <c r="CT14" s="267">
        <f t="shared" si="36"/>
        <v>0</v>
      </c>
      <c r="CU14" s="267">
        <f t="shared" si="37"/>
        <v>0</v>
      </c>
      <c r="CV14" s="267">
        <f t="shared" si="38"/>
        <v>0</v>
      </c>
      <c r="CW14" s="267">
        <f t="shared" si="39"/>
        <v>0</v>
      </c>
      <c r="CX14" s="267">
        <f t="shared" si="40"/>
        <v>0</v>
      </c>
      <c r="CY14" s="267">
        <f t="shared" si="41"/>
        <v>0</v>
      </c>
      <c r="CZ14" s="267">
        <f t="shared" si="42"/>
        <v>0</v>
      </c>
      <c r="DA14" s="267">
        <f t="shared" si="43"/>
        <v>0</v>
      </c>
      <c r="DB14" s="267">
        <f t="shared" si="44"/>
        <v>0</v>
      </c>
      <c r="DC14" s="265">
        <v>6</v>
      </c>
      <c r="DD14" s="267">
        <f t="shared" si="45"/>
        <v>-6</v>
      </c>
      <c r="DE14" s="267">
        <f t="shared" si="46"/>
        <v>54000000</v>
      </c>
      <c r="DF14" s="267">
        <f t="shared" si="47"/>
        <v>0</v>
      </c>
      <c r="DG14" s="267">
        <f t="shared" si="48"/>
        <v>0</v>
      </c>
      <c r="DH14" s="265">
        <v>6</v>
      </c>
      <c r="DI14" s="267">
        <f t="shared" si="49"/>
        <v>0</v>
      </c>
      <c r="DJ14" s="267">
        <f t="shared" si="50"/>
        <v>0</v>
      </c>
      <c r="DK14" s="265"/>
      <c r="DL14" s="265">
        <f t="shared" si="53"/>
        <v>0</v>
      </c>
      <c r="DM14" s="265">
        <f t="shared" si="53"/>
        <v>0</v>
      </c>
      <c r="DN14" s="268"/>
    </row>
    <row r="15" spans="1:118" customFormat="1" ht="15" customHeight="1" x14ac:dyDescent="0.35">
      <c r="A15" s="52">
        <v>8</v>
      </c>
      <c r="B15" s="53"/>
      <c r="C15" s="73">
        <f>'Data Gaji'!C14</f>
        <v>0</v>
      </c>
      <c r="D15" s="54" t="s">
        <v>188</v>
      </c>
      <c r="E15" s="55">
        <v>2</v>
      </c>
      <c r="F15" s="279">
        <f>'Data Gaji'!E14</f>
        <v>0</v>
      </c>
      <c r="G15" s="56" t="str">
        <f t="shared" si="0"/>
        <v>N</v>
      </c>
      <c r="H15" s="277">
        <f>'Data Gaji'!G14</f>
        <v>0</v>
      </c>
      <c r="I15" s="58">
        <f>'Data Gaji'!H14</f>
        <v>0</v>
      </c>
      <c r="J15" s="54" t="s">
        <v>222</v>
      </c>
      <c r="K15" s="59">
        <f>'Data Gaji'!J14</f>
        <v>0</v>
      </c>
      <c r="L15" s="180">
        <f>'Jan-Nov'!K14</f>
        <v>0</v>
      </c>
      <c r="M15" s="182">
        <f>'Jan-Nov'!S14</f>
        <v>0</v>
      </c>
      <c r="N15" s="86">
        <f>'Jan-Nov'!U14</f>
        <v>0</v>
      </c>
      <c r="O15" s="87">
        <f>'Jan-Nov'!Z14</f>
        <v>0</v>
      </c>
      <c r="P15" s="87">
        <f>'Jan-Nov'!AB14</f>
        <v>0</v>
      </c>
      <c r="Q15" s="85">
        <f>'Jan-Nov'!AD14</f>
        <v>0</v>
      </c>
      <c r="R15" s="88">
        <f>'Jan-Nov'!AI14</f>
        <v>0</v>
      </c>
      <c r="S15" s="89">
        <f>'Jan-Nov'!AK14</f>
        <v>0</v>
      </c>
      <c r="T15" s="87">
        <f>'Jan-Nov'!AP14</f>
        <v>0</v>
      </c>
      <c r="U15" s="87">
        <f>'Jan-Nov'!AR14</f>
        <v>0</v>
      </c>
      <c r="V15" s="89">
        <f>'Jan-Nov'!AW14</f>
        <v>0</v>
      </c>
      <c r="W15" s="89">
        <f>'Jan-Nov'!AY14</f>
        <v>0</v>
      </c>
      <c r="X15" s="89">
        <f>'Jan-Nov'!BD14</f>
        <v>0</v>
      </c>
      <c r="Y15" s="89">
        <f>'Jan-Nov'!BF14</f>
        <v>0</v>
      </c>
      <c r="Z15" s="86">
        <f>'Jan-Nov'!BK14</f>
        <v>0</v>
      </c>
      <c r="AA15" s="86">
        <f>'Jan-Nov'!BM14</f>
        <v>0</v>
      </c>
      <c r="AB15" s="87">
        <f>'Jan-Nov'!BR14</f>
        <v>0</v>
      </c>
      <c r="AC15" s="87">
        <f>'Jan-Nov'!BT14</f>
        <v>0</v>
      </c>
      <c r="AD15" s="85">
        <f>'Jan-Nov'!BY14</f>
        <v>0</v>
      </c>
      <c r="AE15" s="88">
        <f>'Jan-Nov'!CA14</f>
        <v>0</v>
      </c>
      <c r="AF15" s="89">
        <f>'Jan-Nov'!CF14</f>
        <v>0</v>
      </c>
      <c r="AG15" s="87">
        <f>'Jan-Nov'!CH14</f>
        <v>0</v>
      </c>
      <c r="AH15" s="85">
        <f>'Jan-Nov'!CM14</f>
        <v>0</v>
      </c>
      <c r="AI15" s="126">
        <f t="shared" si="4"/>
        <v>0</v>
      </c>
      <c r="AJ15" s="90">
        <f t="shared" si="5"/>
        <v>0</v>
      </c>
      <c r="AK15" s="123"/>
      <c r="AL15" s="126">
        <f>'Data Gaji'!LG14</f>
        <v>0</v>
      </c>
      <c r="AM15" s="128">
        <f>'Jan-Nov'!CQ14</f>
        <v>0</v>
      </c>
      <c r="AN15" s="125">
        <f t="shared" si="51"/>
        <v>0</v>
      </c>
      <c r="AO15" s="77">
        <f t="shared" si="6"/>
        <v>0</v>
      </c>
      <c r="AP15" s="77">
        <f>'Data Gaji'!LO14</f>
        <v>0</v>
      </c>
      <c r="AQ15" s="77">
        <f>'Data Gaji'!LF14*12</f>
        <v>0</v>
      </c>
      <c r="AR15" s="77"/>
      <c r="AS15" s="77"/>
      <c r="AT15" s="75">
        <f t="shared" si="7"/>
        <v>0</v>
      </c>
      <c r="AU15" s="82"/>
      <c r="AV15" s="84">
        <f t="shared" si="8"/>
        <v>0</v>
      </c>
      <c r="AW15" s="76">
        <f t="shared" si="9"/>
        <v>0</v>
      </c>
      <c r="AX15" s="77">
        <f t="shared" si="10"/>
        <v>0</v>
      </c>
      <c r="AY15" s="77"/>
      <c r="AZ15" s="77"/>
      <c r="BA15" s="77"/>
      <c r="BB15" s="74">
        <f t="shared" si="11"/>
        <v>0</v>
      </c>
      <c r="BC15" s="78">
        <f t="shared" si="12"/>
        <v>0</v>
      </c>
      <c r="BD15" s="79">
        <f t="shared" si="1"/>
        <v>54000000</v>
      </c>
      <c r="BE15" s="80">
        <f t="shared" si="13"/>
        <v>0</v>
      </c>
      <c r="BF15" s="81">
        <f t="shared" si="14"/>
        <v>0</v>
      </c>
      <c r="BG15" s="157">
        <f t="shared" si="15"/>
        <v>0</v>
      </c>
      <c r="BH15" s="148">
        <f t="shared" si="16"/>
        <v>0</v>
      </c>
      <c r="BI15" s="83">
        <f t="shared" si="17"/>
        <v>0</v>
      </c>
      <c r="BJ15" s="35"/>
      <c r="BK15" s="159">
        <f t="shared" si="18"/>
        <v>0</v>
      </c>
      <c r="BL15" s="146">
        <f t="shared" si="19"/>
        <v>0</v>
      </c>
      <c r="BM15" s="145"/>
      <c r="BN15" s="160">
        <f t="shared" si="20"/>
        <v>0</v>
      </c>
      <c r="BO15" s="35"/>
      <c r="BP15" s="262">
        <f t="shared" si="2"/>
        <v>12</v>
      </c>
      <c r="BQ15" s="250">
        <f t="shared" si="21"/>
        <v>2024</v>
      </c>
      <c r="BR15" s="250">
        <f t="shared" si="3"/>
        <v>0</v>
      </c>
      <c r="BS15" s="250">
        <f t="shared" si="22"/>
        <v>0</v>
      </c>
      <c r="BT15" s="250">
        <f t="shared" si="23"/>
        <v>0</v>
      </c>
      <c r="BU15" s="250" t="s">
        <v>150</v>
      </c>
      <c r="BV15" s="263">
        <f t="shared" si="24"/>
        <v>0</v>
      </c>
      <c r="BW15" s="264">
        <f t="shared" si="25"/>
        <v>0</v>
      </c>
      <c r="BX15" s="250"/>
      <c r="BY15" s="260"/>
      <c r="BZ15" s="265"/>
      <c r="CA15" s="265"/>
      <c r="CB15" s="265"/>
      <c r="CC15" s="265"/>
      <c r="CD15" s="265"/>
      <c r="CE15" s="265"/>
      <c r="CF15" s="265">
        <f t="shared" si="26"/>
        <v>0</v>
      </c>
      <c r="CG15" s="266">
        <f t="shared" ref="CG15:CG38" si="54">C15</f>
        <v>0</v>
      </c>
      <c r="CH15" s="265">
        <f t="shared" si="27"/>
        <v>0</v>
      </c>
      <c r="CI15" s="266" t="str">
        <f t="shared" si="28"/>
        <v>Jawa Timur</v>
      </c>
      <c r="CJ15" s="265">
        <f t="shared" si="29"/>
        <v>0</v>
      </c>
      <c r="CK15" s="266" t="str">
        <f t="shared" si="30"/>
        <v>K</v>
      </c>
      <c r="CL15" s="265">
        <f t="shared" si="31"/>
        <v>2</v>
      </c>
      <c r="CM15" s="265">
        <f t="shared" si="32"/>
        <v>0</v>
      </c>
      <c r="CN15" s="265" t="s">
        <v>189</v>
      </c>
      <c r="CO15" s="265"/>
      <c r="CP15" s="265" t="s">
        <v>202</v>
      </c>
      <c r="CQ15" s="267">
        <f t="shared" si="33"/>
        <v>0</v>
      </c>
      <c r="CR15" s="267">
        <f t="shared" si="34"/>
        <v>0</v>
      </c>
      <c r="CS15" s="267">
        <f t="shared" si="35"/>
        <v>0</v>
      </c>
      <c r="CT15" s="267">
        <f t="shared" si="36"/>
        <v>0</v>
      </c>
      <c r="CU15" s="267">
        <f t="shared" si="37"/>
        <v>0</v>
      </c>
      <c r="CV15" s="267">
        <f t="shared" si="38"/>
        <v>0</v>
      </c>
      <c r="CW15" s="267">
        <f t="shared" si="39"/>
        <v>0</v>
      </c>
      <c r="CX15" s="267">
        <f t="shared" si="40"/>
        <v>0</v>
      </c>
      <c r="CY15" s="267">
        <f t="shared" si="41"/>
        <v>0</v>
      </c>
      <c r="CZ15" s="267">
        <f t="shared" si="42"/>
        <v>0</v>
      </c>
      <c r="DA15" s="267">
        <f t="shared" si="43"/>
        <v>0</v>
      </c>
      <c r="DB15" s="267">
        <f t="shared" si="44"/>
        <v>0</v>
      </c>
      <c r="DC15" s="265">
        <v>7</v>
      </c>
      <c r="DD15" s="267">
        <f t="shared" si="45"/>
        <v>-7</v>
      </c>
      <c r="DE15" s="267">
        <f t="shared" si="46"/>
        <v>54000000</v>
      </c>
      <c r="DF15" s="267">
        <f t="shared" si="47"/>
        <v>0</v>
      </c>
      <c r="DG15" s="267">
        <f t="shared" si="48"/>
        <v>0</v>
      </c>
      <c r="DH15" s="265">
        <v>7</v>
      </c>
      <c r="DI15" s="267">
        <f t="shared" si="49"/>
        <v>0</v>
      </c>
      <c r="DJ15" s="267">
        <f t="shared" si="50"/>
        <v>0</v>
      </c>
      <c r="DK15" s="265"/>
      <c r="DL15" s="265">
        <f t="shared" si="53"/>
        <v>0</v>
      </c>
      <c r="DM15" s="265">
        <f t="shared" si="53"/>
        <v>0</v>
      </c>
      <c r="DN15" s="265"/>
    </row>
    <row r="16" spans="1:118" customFormat="1" ht="15" customHeight="1" x14ac:dyDescent="0.35">
      <c r="A16" s="52">
        <v>9</v>
      </c>
      <c r="B16" s="53"/>
      <c r="C16" s="73">
        <f>'Data Gaji'!C15</f>
        <v>0</v>
      </c>
      <c r="D16" s="54" t="s">
        <v>191</v>
      </c>
      <c r="E16" s="55">
        <v>0</v>
      </c>
      <c r="F16" s="279">
        <f>'Data Gaji'!E15</f>
        <v>0</v>
      </c>
      <c r="G16" s="56" t="str">
        <f t="shared" si="0"/>
        <v>N</v>
      </c>
      <c r="H16" s="277">
        <f>'Data Gaji'!G15</f>
        <v>0</v>
      </c>
      <c r="I16" s="58">
        <f>'Data Gaji'!H15</f>
        <v>0</v>
      </c>
      <c r="J16" s="54" t="s">
        <v>222</v>
      </c>
      <c r="K16" s="59">
        <f>'Data Gaji'!J15</f>
        <v>0</v>
      </c>
      <c r="L16" s="180">
        <f>'Jan-Nov'!K15</f>
        <v>0</v>
      </c>
      <c r="M16" s="182">
        <f>'Jan-Nov'!S15</f>
        <v>0</v>
      </c>
      <c r="N16" s="86">
        <f>'Jan-Nov'!U15</f>
        <v>0</v>
      </c>
      <c r="O16" s="87">
        <f>'Jan-Nov'!Z15</f>
        <v>0</v>
      </c>
      <c r="P16" s="87">
        <f>'Jan-Nov'!AB15</f>
        <v>0</v>
      </c>
      <c r="Q16" s="85">
        <f>'Jan-Nov'!AD15</f>
        <v>0</v>
      </c>
      <c r="R16" s="88">
        <f>'Jan-Nov'!AI15</f>
        <v>0</v>
      </c>
      <c r="S16" s="89">
        <f>'Jan-Nov'!AK15</f>
        <v>0</v>
      </c>
      <c r="T16" s="87">
        <f>'Jan-Nov'!AP15</f>
        <v>0</v>
      </c>
      <c r="U16" s="87">
        <f>'Jan-Nov'!AR15</f>
        <v>0</v>
      </c>
      <c r="V16" s="89">
        <f>'Jan-Nov'!AW15</f>
        <v>0</v>
      </c>
      <c r="W16" s="89">
        <f>'Jan-Nov'!AY15</f>
        <v>0</v>
      </c>
      <c r="X16" s="89">
        <f>'Jan-Nov'!BD15</f>
        <v>0</v>
      </c>
      <c r="Y16" s="89">
        <f>'Jan-Nov'!BF15</f>
        <v>0</v>
      </c>
      <c r="Z16" s="86">
        <f>'Jan-Nov'!BK15</f>
        <v>0</v>
      </c>
      <c r="AA16" s="86">
        <f>'Jan-Nov'!BM15</f>
        <v>0</v>
      </c>
      <c r="AB16" s="87">
        <f>'Jan-Nov'!BR15</f>
        <v>0</v>
      </c>
      <c r="AC16" s="87">
        <f>'Jan-Nov'!BT15</f>
        <v>0</v>
      </c>
      <c r="AD16" s="85">
        <f>'Jan-Nov'!BY15</f>
        <v>0</v>
      </c>
      <c r="AE16" s="88">
        <f>'Jan-Nov'!CA15</f>
        <v>0</v>
      </c>
      <c r="AF16" s="89">
        <f>'Jan-Nov'!CF15</f>
        <v>0</v>
      </c>
      <c r="AG16" s="87">
        <f>'Jan-Nov'!CH15</f>
        <v>0</v>
      </c>
      <c r="AH16" s="85">
        <f>'Jan-Nov'!CM15</f>
        <v>0</v>
      </c>
      <c r="AI16" s="126">
        <f t="shared" si="4"/>
        <v>0</v>
      </c>
      <c r="AJ16" s="90">
        <f t="shared" si="5"/>
        <v>0</v>
      </c>
      <c r="AK16" s="123"/>
      <c r="AL16" s="126">
        <f>'Data Gaji'!LG15</f>
        <v>0</v>
      </c>
      <c r="AM16" s="128">
        <f>'Jan-Nov'!CQ15</f>
        <v>0</v>
      </c>
      <c r="AN16" s="125">
        <f t="shared" si="51"/>
        <v>0</v>
      </c>
      <c r="AO16" s="77">
        <f t="shared" si="6"/>
        <v>0</v>
      </c>
      <c r="AP16" s="77">
        <f>'Data Gaji'!LO15</f>
        <v>0</v>
      </c>
      <c r="AQ16" s="77">
        <f>'Data Gaji'!LF15*12</f>
        <v>0</v>
      </c>
      <c r="AR16" s="77"/>
      <c r="AS16" s="77"/>
      <c r="AT16" s="75">
        <f t="shared" si="7"/>
        <v>0</v>
      </c>
      <c r="AU16" s="82"/>
      <c r="AV16" s="84">
        <f t="shared" si="8"/>
        <v>0</v>
      </c>
      <c r="AW16" s="76">
        <f t="shared" si="9"/>
        <v>0</v>
      </c>
      <c r="AX16" s="77">
        <f t="shared" si="10"/>
        <v>0</v>
      </c>
      <c r="AY16" s="77"/>
      <c r="AZ16" s="77"/>
      <c r="BA16" s="77"/>
      <c r="BB16" s="74">
        <f t="shared" si="11"/>
        <v>0</v>
      </c>
      <c r="BC16" s="78">
        <f t="shared" si="12"/>
        <v>0</v>
      </c>
      <c r="BD16" s="79">
        <f t="shared" si="1"/>
        <v>54000000</v>
      </c>
      <c r="BE16" s="80">
        <f t="shared" si="13"/>
        <v>0</v>
      </c>
      <c r="BF16" s="81">
        <f t="shared" si="14"/>
        <v>0</v>
      </c>
      <c r="BG16" s="157">
        <f t="shared" si="15"/>
        <v>0</v>
      </c>
      <c r="BH16" s="148">
        <f t="shared" si="16"/>
        <v>0</v>
      </c>
      <c r="BI16" s="83">
        <f t="shared" si="17"/>
        <v>0</v>
      </c>
      <c r="BJ16" s="35"/>
      <c r="BK16" s="159">
        <f t="shared" si="18"/>
        <v>0</v>
      </c>
      <c r="BL16" s="146">
        <f t="shared" si="19"/>
        <v>0</v>
      </c>
      <c r="BM16" s="145"/>
      <c r="BN16" s="160">
        <f t="shared" si="20"/>
        <v>0</v>
      </c>
      <c r="BO16" s="35"/>
      <c r="BP16" s="262">
        <f t="shared" si="2"/>
        <v>12</v>
      </c>
      <c r="BQ16" s="250">
        <f t="shared" si="21"/>
        <v>2024</v>
      </c>
      <c r="BR16" s="250">
        <f t="shared" si="3"/>
        <v>0</v>
      </c>
      <c r="BS16" s="250">
        <f t="shared" si="22"/>
        <v>0</v>
      </c>
      <c r="BT16" s="250">
        <f t="shared" si="23"/>
        <v>0</v>
      </c>
      <c r="BU16" s="250" t="s">
        <v>150</v>
      </c>
      <c r="BV16" s="263">
        <f t="shared" si="24"/>
        <v>0</v>
      </c>
      <c r="BW16" s="264">
        <f t="shared" si="25"/>
        <v>0</v>
      </c>
      <c r="BX16" s="250"/>
      <c r="BY16" s="260"/>
      <c r="BZ16" s="265"/>
      <c r="CA16" s="265"/>
      <c r="CB16" s="265"/>
      <c r="CC16" s="265"/>
      <c r="CD16" s="265"/>
      <c r="CE16" s="265"/>
      <c r="CF16" s="265">
        <f t="shared" si="26"/>
        <v>0</v>
      </c>
      <c r="CG16" s="266">
        <f t="shared" si="54"/>
        <v>0</v>
      </c>
      <c r="CH16" s="265">
        <f t="shared" si="27"/>
        <v>0</v>
      </c>
      <c r="CI16" s="266" t="str">
        <f t="shared" si="28"/>
        <v>Jawa Timur</v>
      </c>
      <c r="CJ16" s="265">
        <f t="shared" si="29"/>
        <v>0</v>
      </c>
      <c r="CK16" s="266" t="str">
        <f t="shared" si="30"/>
        <v>TK</v>
      </c>
      <c r="CL16" s="265">
        <f t="shared" si="31"/>
        <v>0</v>
      </c>
      <c r="CM16" s="265">
        <f t="shared" si="32"/>
        <v>0</v>
      </c>
      <c r="CN16" s="265" t="s">
        <v>189</v>
      </c>
      <c r="CO16" s="265"/>
      <c r="CP16" s="265" t="s">
        <v>203</v>
      </c>
      <c r="CQ16" s="267">
        <f t="shared" si="33"/>
        <v>0</v>
      </c>
      <c r="CR16" s="267">
        <f t="shared" si="34"/>
        <v>0</v>
      </c>
      <c r="CS16" s="267">
        <f t="shared" si="35"/>
        <v>0</v>
      </c>
      <c r="CT16" s="267">
        <f t="shared" si="36"/>
        <v>0</v>
      </c>
      <c r="CU16" s="267">
        <f t="shared" si="37"/>
        <v>0</v>
      </c>
      <c r="CV16" s="267">
        <f t="shared" si="38"/>
        <v>0</v>
      </c>
      <c r="CW16" s="267">
        <f t="shared" si="39"/>
        <v>0</v>
      </c>
      <c r="CX16" s="267">
        <f t="shared" si="40"/>
        <v>0</v>
      </c>
      <c r="CY16" s="267">
        <f t="shared" si="41"/>
        <v>0</v>
      </c>
      <c r="CZ16" s="267">
        <f t="shared" si="42"/>
        <v>0</v>
      </c>
      <c r="DA16" s="267">
        <f t="shared" si="43"/>
        <v>0</v>
      </c>
      <c r="DB16" s="267">
        <f t="shared" si="44"/>
        <v>0</v>
      </c>
      <c r="DC16" s="265">
        <v>8</v>
      </c>
      <c r="DD16" s="267">
        <f t="shared" si="45"/>
        <v>-8</v>
      </c>
      <c r="DE16" s="267">
        <f t="shared" si="46"/>
        <v>54000000</v>
      </c>
      <c r="DF16" s="267">
        <f t="shared" si="47"/>
        <v>0</v>
      </c>
      <c r="DG16" s="267">
        <f t="shared" si="48"/>
        <v>0</v>
      </c>
      <c r="DH16" s="265">
        <v>8</v>
      </c>
      <c r="DI16" s="267">
        <f t="shared" si="49"/>
        <v>0</v>
      </c>
      <c r="DJ16" s="267">
        <f t="shared" si="50"/>
        <v>0</v>
      </c>
      <c r="DK16" s="265"/>
      <c r="DL16" s="265">
        <f t="shared" si="53"/>
        <v>0</v>
      </c>
      <c r="DM16" s="265">
        <f t="shared" si="53"/>
        <v>0</v>
      </c>
      <c r="DN16" s="265"/>
    </row>
    <row r="17" spans="1:118" customFormat="1" ht="15" customHeight="1" x14ac:dyDescent="0.35">
      <c r="A17" s="52">
        <v>10</v>
      </c>
      <c r="B17" s="53"/>
      <c r="C17" s="73">
        <f>'Data Gaji'!C16</f>
        <v>0</v>
      </c>
      <c r="D17" s="54" t="s">
        <v>191</v>
      </c>
      <c r="E17" s="55">
        <v>0</v>
      </c>
      <c r="F17" s="279">
        <f>'Data Gaji'!E16</f>
        <v>0</v>
      </c>
      <c r="G17" s="56" t="str">
        <f t="shared" si="0"/>
        <v>N</v>
      </c>
      <c r="H17" s="277">
        <f>'Data Gaji'!G16</f>
        <v>0</v>
      </c>
      <c r="I17" s="58">
        <f>'Data Gaji'!H16</f>
        <v>0</v>
      </c>
      <c r="J17" s="54" t="s">
        <v>222</v>
      </c>
      <c r="K17" s="59">
        <f>'Data Gaji'!J16</f>
        <v>0</v>
      </c>
      <c r="L17" s="180">
        <f>'Jan-Nov'!K16</f>
        <v>0</v>
      </c>
      <c r="M17" s="182">
        <f>'Jan-Nov'!S16</f>
        <v>0</v>
      </c>
      <c r="N17" s="86">
        <f>'Jan-Nov'!U16</f>
        <v>0</v>
      </c>
      <c r="O17" s="87">
        <f>'Jan-Nov'!Z16</f>
        <v>0</v>
      </c>
      <c r="P17" s="87">
        <f>'Jan-Nov'!AB16</f>
        <v>0</v>
      </c>
      <c r="Q17" s="85">
        <f>'Jan-Nov'!AD16</f>
        <v>0</v>
      </c>
      <c r="R17" s="88">
        <f>'Jan-Nov'!AI16</f>
        <v>0</v>
      </c>
      <c r="S17" s="89">
        <f>'Jan-Nov'!AK16</f>
        <v>0</v>
      </c>
      <c r="T17" s="87">
        <f>'Jan-Nov'!AP16</f>
        <v>0</v>
      </c>
      <c r="U17" s="87">
        <f>'Jan-Nov'!AR16</f>
        <v>0</v>
      </c>
      <c r="V17" s="89">
        <f>'Jan-Nov'!AW16</f>
        <v>0</v>
      </c>
      <c r="W17" s="89">
        <f>'Jan-Nov'!AY16</f>
        <v>0</v>
      </c>
      <c r="X17" s="89">
        <f>'Jan-Nov'!BD16</f>
        <v>0</v>
      </c>
      <c r="Y17" s="89">
        <f>'Jan-Nov'!BF16</f>
        <v>0</v>
      </c>
      <c r="Z17" s="86">
        <f>'Jan-Nov'!BK16</f>
        <v>0</v>
      </c>
      <c r="AA17" s="86">
        <f>'Jan-Nov'!BM16</f>
        <v>0</v>
      </c>
      <c r="AB17" s="87">
        <f>'Jan-Nov'!BR16</f>
        <v>0</v>
      </c>
      <c r="AC17" s="87">
        <f>'Jan-Nov'!BT16</f>
        <v>0</v>
      </c>
      <c r="AD17" s="85">
        <f>'Jan-Nov'!BY16</f>
        <v>0</v>
      </c>
      <c r="AE17" s="88">
        <f>'Jan-Nov'!CA16</f>
        <v>0</v>
      </c>
      <c r="AF17" s="89">
        <f>'Jan-Nov'!CF16</f>
        <v>0</v>
      </c>
      <c r="AG17" s="87">
        <f>'Jan-Nov'!CH16</f>
        <v>0</v>
      </c>
      <c r="AH17" s="85">
        <f>'Jan-Nov'!CM16</f>
        <v>0</v>
      </c>
      <c r="AI17" s="126">
        <f t="shared" si="4"/>
        <v>0</v>
      </c>
      <c r="AJ17" s="90">
        <f t="shared" si="5"/>
        <v>0</v>
      </c>
      <c r="AK17" s="123"/>
      <c r="AL17" s="126">
        <f>'Data Gaji'!LG16</f>
        <v>0</v>
      </c>
      <c r="AM17" s="128">
        <f>'Jan-Nov'!CQ16</f>
        <v>0</v>
      </c>
      <c r="AN17" s="125">
        <f t="shared" si="51"/>
        <v>0</v>
      </c>
      <c r="AO17" s="77">
        <f t="shared" si="6"/>
        <v>0</v>
      </c>
      <c r="AP17" s="77">
        <f>'Data Gaji'!LO16</f>
        <v>0</v>
      </c>
      <c r="AQ17" s="77">
        <f>'Data Gaji'!LF16*12</f>
        <v>0</v>
      </c>
      <c r="AR17" s="77"/>
      <c r="AS17" s="77"/>
      <c r="AT17" s="75">
        <f t="shared" si="7"/>
        <v>0</v>
      </c>
      <c r="AU17" s="82"/>
      <c r="AV17" s="84">
        <f t="shared" si="8"/>
        <v>0</v>
      </c>
      <c r="AW17" s="76">
        <f t="shared" si="9"/>
        <v>0</v>
      </c>
      <c r="AX17" s="77">
        <f t="shared" si="10"/>
        <v>0</v>
      </c>
      <c r="AY17" s="77"/>
      <c r="AZ17" s="77"/>
      <c r="BA17" s="77"/>
      <c r="BB17" s="74">
        <f t="shared" si="11"/>
        <v>0</v>
      </c>
      <c r="BC17" s="78">
        <f t="shared" si="12"/>
        <v>0</v>
      </c>
      <c r="BD17" s="79">
        <f t="shared" si="1"/>
        <v>54000000</v>
      </c>
      <c r="BE17" s="80">
        <f t="shared" si="13"/>
        <v>0</v>
      </c>
      <c r="BF17" s="81">
        <f t="shared" si="14"/>
        <v>0</v>
      </c>
      <c r="BG17" s="157">
        <f t="shared" si="15"/>
        <v>0</v>
      </c>
      <c r="BH17" s="148">
        <f t="shared" si="16"/>
        <v>0</v>
      </c>
      <c r="BI17" s="83">
        <f t="shared" si="17"/>
        <v>0</v>
      </c>
      <c r="BJ17" s="35"/>
      <c r="BK17" s="159">
        <f t="shared" si="18"/>
        <v>0</v>
      </c>
      <c r="BL17" s="146">
        <f t="shared" si="19"/>
        <v>0</v>
      </c>
      <c r="BM17" s="145"/>
      <c r="BN17" s="160">
        <f t="shared" si="20"/>
        <v>0</v>
      </c>
      <c r="BO17" s="35"/>
      <c r="BP17" s="262">
        <f t="shared" si="2"/>
        <v>12</v>
      </c>
      <c r="BQ17" s="250">
        <f t="shared" si="21"/>
        <v>2024</v>
      </c>
      <c r="BR17" s="250">
        <f t="shared" si="3"/>
        <v>0</v>
      </c>
      <c r="BS17" s="250">
        <f t="shared" si="22"/>
        <v>0</v>
      </c>
      <c r="BT17" s="250">
        <f t="shared" si="23"/>
        <v>0</v>
      </c>
      <c r="BU17" s="250" t="s">
        <v>150</v>
      </c>
      <c r="BV17" s="263">
        <f t="shared" si="24"/>
        <v>0</v>
      </c>
      <c r="BW17" s="264">
        <f t="shared" si="25"/>
        <v>0</v>
      </c>
      <c r="BX17" s="250"/>
      <c r="BY17" s="260"/>
      <c r="BZ17" s="265"/>
      <c r="CA17" s="265"/>
      <c r="CB17" s="265"/>
      <c r="CC17" s="265"/>
      <c r="CD17" s="265"/>
      <c r="CE17" s="265"/>
      <c r="CF17" s="265">
        <f t="shared" si="26"/>
        <v>0</v>
      </c>
      <c r="CG17" s="266">
        <f t="shared" si="54"/>
        <v>0</v>
      </c>
      <c r="CH17" s="265">
        <f t="shared" si="27"/>
        <v>0</v>
      </c>
      <c r="CI17" s="266" t="str">
        <f t="shared" si="28"/>
        <v>Jawa Timur</v>
      </c>
      <c r="CJ17" s="265">
        <f t="shared" si="29"/>
        <v>0</v>
      </c>
      <c r="CK17" s="266" t="str">
        <f t="shared" si="30"/>
        <v>TK</v>
      </c>
      <c r="CL17" s="265">
        <f t="shared" si="31"/>
        <v>0</v>
      </c>
      <c r="CM17" s="265">
        <f t="shared" si="32"/>
        <v>0</v>
      </c>
      <c r="CN17" s="265" t="s">
        <v>189</v>
      </c>
      <c r="CO17" s="265"/>
      <c r="CP17" s="265" t="s">
        <v>204</v>
      </c>
      <c r="CQ17" s="267">
        <f t="shared" si="33"/>
        <v>0</v>
      </c>
      <c r="CR17" s="267">
        <f t="shared" si="34"/>
        <v>0</v>
      </c>
      <c r="CS17" s="267">
        <f t="shared" si="35"/>
        <v>0</v>
      </c>
      <c r="CT17" s="267">
        <f t="shared" si="36"/>
        <v>0</v>
      </c>
      <c r="CU17" s="267">
        <f t="shared" si="37"/>
        <v>0</v>
      </c>
      <c r="CV17" s="267">
        <f t="shared" si="38"/>
        <v>0</v>
      </c>
      <c r="CW17" s="267">
        <f t="shared" si="39"/>
        <v>0</v>
      </c>
      <c r="CX17" s="267">
        <f t="shared" si="40"/>
        <v>0</v>
      </c>
      <c r="CY17" s="267">
        <f t="shared" si="41"/>
        <v>0</v>
      </c>
      <c r="CZ17" s="267">
        <f t="shared" si="42"/>
        <v>0</v>
      </c>
      <c r="DA17" s="267">
        <f t="shared" si="43"/>
        <v>0</v>
      </c>
      <c r="DB17" s="267">
        <f t="shared" si="44"/>
        <v>0</v>
      </c>
      <c r="DC17" s="265">
        <v>9</v>
      </c>
      <c r="DD17" s="267">
        <f t="shared" si="45"/>
        <v>-9</v>
      </c>
      <c r="DE17" s="267">
        <f t="shared" si="46"/>
        <v>54000000</v>
      </c>
      <c r="DF17" s="267">
        <f t="shared" si="47"/>
        <v>0</v>
      </c>
      <c r="DG17" s="267">
        <f t="shared" si="48"/>
        <v>0</v>
      </c>
      <c r="DH17" s="265">
        <v>9</v>
      </c>
      <c r="DI17" s="267">
        <f t="shared" si="49"/>
        <v>0</v>
      </c>
      <c r="DJ17" s="267">
        <f t="shared" si="50"/>
        <v>0</v>
      </c>
      <c r="DK17" s="265"/>
      <c r="DL17" s="265">
        <f t="shared" si="53"/>
        <v>0</v>
      </c>
      <c r="DM17" s="265">
        <f t="shared" si="53"/>
        <v>0</v>
      </c>
      <c r="DN17" s="265"/>
    </row>
    <row r="18" spans="1:118" x14ac:dyDescent="0.35">
      <c r="A18" s="68">
        <v>11</v>
      </c>
      <c r="B18" s="69"/>
      <c r="C18" s="73">
        <f>'Data Gaji'!C17</f>
        <v>0</v>
      </c>
      <c r="D18" s="54" t="s">
        <v>191</v>
      </c>
      <c r="E18" s="55">
        <v>0</v>
      </c>
      <c r="F18" s="279">
        <f>'Data Gaji'!E17</f>
        <v>0</v>
      </c>
      <c r="G18" s="56" t="str">
        <f t="shared" si="0"/>
        <v>N</v>
      </c>
      <c r="H18" s="277">
        <f>'Data Gaji'!G17</f>
        <v>0</v>
      </c>
      <c r="I18" s="58">
        <f>'Data Gaji'!H17</f>
        <v>0</v>
      </c>
      <c r="J18" s="54" t="s">
        <v>223</v>
      </c>
      <c r="K18" s="59">
        <f>'Data Gaji'!J17</f>
        <v>0</v>
      </c>
      <c r="L18" s="180">
        <f>'Jan-Nov'!K17</f>
        <v>0</v>
      </c>
      <c r="M18" s="182">
        <f>'Jan-Nov'!S17</f>
        <v>0</v>
      </c>
      <c r="N18" s="86">
        <f>'Jan-Nov'!U17</f>
        <v>0</v>
      </c>
      <c r="O18" s="87">
        <f>'Jan-Nov'!Z17</f>
        <v>0</v>
      </c>
      <c r="P18" s="87">
        <f>'Jan-Nov'!AB17</f>
        <v>0</v>
      </c>
      <c r="Q18" s="85">
        <f>'Jan-Nov'!AD17</f>
        <v>0</v>
      </c>
      <c r="R18" s="88">
        <f>'Jan-Nov'!AI17</f>
        <v>0</v>
      </c>
      <c r="S18" s="89">
        <f>'Jan-Nov'!AK17</f>
        <v>0</v>
      </c>
      <c r="T18" s="87">
        <f>'Jan-Nov'!AP17</f>
        <v>0</v>
      </c>
      <c r="U18" s="87">
        <f>'Jan-Nov'!AR17</f>
        <v>0</v>
      </c>
      <c r="V18" s="89">
        <f>'Jan-Nov'!AW17</f>
        <v>0</v>
      </c>
      <c r="W18" s="89">
        <f>'Jan-Nov'!AY17</f>
        <v>0</v>
      </c>
      <c r="X18" s="89">
        <f>'Jan-Nov'!BD17</f>
        <v>0</v>
      </c>
      <c r="Y18" s="89">
        <f>'Jan-Nov'!BF17</f>
        <v>0</v>
      </c>
      <c r="Z18" s="86">
        <f>'Jan-Nov'!BK17</f>
        <v>0</v>
      </c>
      <c r="AA18" s="86">
        <f>'Jan-Nov'!BM17</f>
        <v>0</v>
      </c>
      <c r="AB18" s="87">
        <f>'Jan-Nov'!BR17</f>
        <v>0</v>
      </c>
      <c r="AC18" s="87">
        <f>'Jan-Nov'!BT17</f>
        <v>0</v>
      </c>
      <c r="AD18" s="85">
        <f>'Jan-Nov'!BY17</f>
        <v>0</v>
      </c>
      <c r="AE18" s="88">
        <f>'Jan-Nov'!CA17</f>
        <v>0</v>
      </c>
      <c r="AF18" s="89">
        <f>'Jan-Nov'!CF17</f>
        <v>0</v>
      </c>
      <c r="AG18" s="87">
        <f>'Jan-Nov'!CH17</f>
        <v>0</v>
      </c>
      <c r="AH18" s="85">
        <f>'Jan-Nov'!CM17</f>
        <v>0</v>
      </c>
      <c r="AI18" s="126">
        <f t="shared" si="4"/>
        <v>0</v>
      </c>
      <c r="AJ18" s="90">
        <f t="shared" si="5"/>
        <v>0</v>
      </c>
      <c r="AK18" s="123"/>
      <c r="AL18" s="126">
        <f>'Data Gaji'!LG17</f>
        <v>0</v>
      </c>
      <c r="AM18" s="128">
        <f>'Jan-Nov'!CQ17</f>
        <v>0</v>
      </c>
      <c r="AN18" s="125">
        <f t="shared" si="51"/>
        <v>0</v>
      </c>
      <c r="AO18" s="77">
        <f t="shared" si="6"/>
        <v>0</v>
      </c>
      <c r="AP18" s="77">
        <f>'Data Gaji'!LO17</f>
        <v>0</v>
      </c>
      <c r="AQ18" s="77">
        <f>'Data Gaji'!LF17*12</f>
        <v>0</v>
      </c>
      <c r="AR18" s="77"/>
      <c r="AS18" s="77"/>
      <c r="AT18" s="75">
        <f t="shared" si="7"/>
        <v>0</v>
      </c>
      <c r="AU18" s="82"/>
      <c r="AV18" s="84">
        <f t="shared" si="8"/>
        <v>0</v>
      </c>
      <c r="AW18" s="76">
        <f t="shared" si="9"/>
        <v>0</v>
      </c>
      <c r="AX18" s="77">
        <f t="shared" si="10"/>
        <v>0</v>
      </c>
      <c r="AY18" s="77"/>
      <c r="AZ18" s="77"/>
      <c r="BA18" s="77"/>
      <c r="BB18" s="74">
        <f t="shared" si="11"/>
        <v>0</v>
      </c>
      <c r="BC18" s="78">
        <f t="shared" si="12"/>
        <v>0</v>
      </c>
      <c r="BD18" s="79">
        <f t="shared" si="1"/>
        <v>54000000</v>
      </c>
      <c r="BE18" s="80">
        <f t="shared" si="13"/>
        <v>0</v>
      </c>
      <c r="BF18" s="81">
        <f t="shared" si="14"/>
        <v>0</v>
      </c>
      <c r="BG18" s="157">
        <f t="shared" si="15"/>
        <v>0</v>
      </c>
      <c r="BH18" s="148">
        <f t="shared" si="16"/>
        <v>0</v>
      </c>
      <c r="BI18" s="83">
        <f t="shared" si="17"/>
        <v>0</v>
      </c>
      <c r="BK18" s="159">
        <f t="shared" si="18"/>
        <v>0</v>
      </c>
      <c r="BL18" s="146">
        <f t="shared" si="19"/>
        <v>0</v>
      </c>
      <c r="BM18" s="145"/>
      <c r="BN18" s="160">
        <f t="shared" si="20"/>
        <v>0</v>
      </c>
      <c r="BP18" s="262">
        <f t="shared" si="2"/>
        <v>12</v>
      </c>
      <c r="BQ18" s="250">
        <f t="shared" si="21"/>
        <v>2024</v>
      </c>
      <c r="BR18" s="250">
        <f t="shared" si="3"/>
        <v>0</v>
      </c>
      <c r="BS18" s="250">
        <f t="shared" si="22"/>
        <v>0</v>
      </c>
      <c r="BT18" s="250">
        <f t="shared" si="23"/>
        <v>0</v>
      </c>
      <c r="BU18" s="250" t="s">
        <v>150</v>
      </c>
      <c r="BV18" s="263">
        <f t="shared" si="24"/>
        <v>0</v>
      </c>
      <c r="BW18" s="264">
        <f t="shared" si="25"/>
        <v>0</v>
      </c>
      <c r="BX18" s="250"/>
      <c r="BY18" s="247"/>
      <c r="BZ18" s="269"/>
      <c r="CA18" s="269"/>
      <c r="CB18" s="269"/>
      <c r="CC18" s="269"/>
      <c r="CD18" s="269"/>
      <c r="CE18" s="269"/>
      <c r="CF18" s="265">
        <f t="shared" si="26"/>
        <v>0</v>
      </c>
      <c r="CG18" s="266">
        <f t="shared" si="54"/>
        <v>0</v>
      </c>
      <c r="CH18" s="265">
        <f t="shared" si="27"/>
        <v>0</v>
      </c>
      <c r="CI18" s="266" t="str">
        <f t="shared" si="28"/>
        <v>Bandung</v>
      </c>
      <c r="CJ18" s="265">
        <f t="shared" si="29"/>
        <v>0</v>
      </c>
      <c r="CK18" s="266" t="str">
        <f t="shared" si="30"/>
        <v>TK</v>
      </c>
      <c r="CL18" s="265">
        <f t="shared" si="31"/>
        <v>0</v>
      </c>
      <c r="CM18" s="265">
        <f t="shared" si="32"/>
        <v>0</v>
      </c>
      <c r="CN18" s="265" t="s">
        <v>189</v>
      </c>
      <c r="CO18" s="265"/>
      <c r="CP18" s="265" t="s">
        <v>205</v>
      </c>
      <c r="CQ18" s="267">
        <f t="shared" si="33"/>
        <v>0</v>
      </c>
      <c r="CR18" s="267">
        <f t="shared" si="34"/>
        <v>0</v>
      </c>
      <c r="CS18" s="267">
        <f t="shared" si="35"/>
        <v>0</v>
      </c>
      <c r="CT18" s="267">
        <f t="shared" si="36"/>
        <v>0</v>
      </c>
      <c r="CU18" s="267">
        <f t="shared" si="37"/>
        <v>0</v>
      </c>
      <c r="CV18" s="267">
        <f t="shared" si="38"/>
        <v>0</v>
      </c>
      <c r="CW18" s="267">
        <f t="shared" si="39"/>
        <v>0</v>
      </c>
      <c r="CX18" s="267">
        <f t="shared" si="40"/>
        <v>0</v>
      </c>
      <c r="CY18" s="267">
        <f t="shared" si="41"/>
        <v>0</v>
      </c>
      <c r="CZ18" s="267">
        <f t="shared" si="42"/>
        <v>0</v>
      </c>
      <c r="DA18" s="267">
        <f t="shared" si="43"/>
        <v>0</v>
      </c>
      <c r="DB18" s="267">
        <f t="shared" si="44"/>
        <v>0</v>
      </c>
      <c r="DC18" s="265">
        <v>10</v>
      </c>
      <c r="DD18" s="267">
        <f t="shared" si="45"/>
        <v>-10</v>
      </c>
      <c r="DE18" s="267">
        <f t="shared" si="46"/>
        <v>54000000</v>
      </c>
      <c r="DF18" s="267">
        <f t="shared" si="47"/>
        <v>0</v>
      </c>
      <c r="DG18" s="267">
        <f t="shared" si="48"/>
        <v>0</v>
      </c>
      <c r="DH18" s="265">
        <v>10</v>
      </c>
      <c r="DI18" s="267">
        <f t="shared" si="49"/>
        <v>0</v>
      </c>
      <c r="DJ18" s="267">
        <f t="shared" si="50"/>
        <v>0</v>
      </c>
      <c r="DK18" s="269"/>
      <c r="DL18" s="265">
        <f t="shared" si="53"/>
        <v>0</v>
      </c>
      <c r="DM18" s="265">
        <f t="shared" si="53"/>
        <v>0</v>
      </c>
      <c r="DN18" s="269"/>
    </row>
    <row r="19" spans="1:118" x14ac:dyDescent="0.35">
      <c r="A19" s="68">
        <v>12</v>
      </c>
      <c r="B19" s="69"/>
      <c r="C19" s="73">
        <f>'Data Gaji'!C18</f>
        <v>0</v>
      </c>
      <c r="D19" s="54" t="s">
        <v>191</v>
      </c>
      <c r="E19" s="55">
        <v>0</v>
      </c>
      <c r="F19" s="279">
        <f>'Data Gaji'!E18</f>
        <v>0</v>
      </c>
      <c r="G19" s="56" t="str">
        <f t="shared" si="0"/>
        <v>N</v>
      </c>
      <c r="H19" s="277">
        <f>'Data Gaji'!G18</f>
        <v>0</v>
      </c>
      <c r="I19" s="58">
        <f>'Data Gaji'!H18</f>
        <v>0</v>
      </c>
      <c r="J19" s="54" t="s">
        <v>223</v>
      </c>
      <c r="K19" s="59">
        <f>'Data Gaji'!J18</f>
        <v>0</v>
      </c>
      <c r="L19" s="180">
        <f>'Jan-Nov'!K18</f>
        <v>0</v>
      </c>
      <c r="M19" s="182">
        <f>'Jan-Nov'!S18</f>
        <v>0</v>
      </c>
      <c r="N19" s="86">
        <f>'Jan-Nov'!U18</f>
        <v>0</v>
      </c>
      <c r="O19" s="87">
        <f>'Jan-Nov'!Z18</f>
        <v>0</v>
      </c>
      <c r="P19" s="87">
        <f>'Jan-Nov'!AB18</f>
        <v>0</v>
      </c>
      <c r="Q19" s="85">
        <f>'Jan-Nov'!AD18</f>
        <v>0</v>
      </c>
      <c r="R19" s="88">
        <f>'Jan-Nov'!AI18</f>
        <v>0</v>
      </c>
      <c r="S19" s="89">
        <f>'Jan-Nov'!AK18</f>
        <v>0</v>
      </c>
      <c r="T19" s="87">
        <f>'Jan-Nov'!AP18</f>
        <v>0</v>
      </c>
      <c r="U19" s="87">
        <f>'Jan-Nov'!AR18</f>
        <v>0</v>
      </c>
      <c r="V19" s="89">
        <f>'Jan-Nov'!AW18</f>
        <v>0</v>
      </c>
      <c r="W19" s="89">
        <f>'Jan-Nov'!AY18</f>
        <v>0</v>
      </c>
      <c r="X19" s="89">
        <f>'Jan-Nov'!BD18</f>
        <v>0</v>
      </c>
      <c r="Y19" s="89">
        <f>'Jan-Nov'!BF18</f>
        <v>0</v>
      </c>
      <c r="Z19" s="86">
        <f>'Jan-Nov'!BK18</f>
        <v>0</v>
      </c>
      <c r="AA19" s="86">
        <f>'Jan-Nov'!BM18</f>
        <v>0</v>
      </c>
      <c r="AB19" s="87">
        <f>'Jan-Nov'!BR18</f>
        <v>0</v>
      </c>
      <c r="AC19" s="87">
        <f>'Jan-Nov'!BT18</f>
        <v>0</v>
      </c>
      <c r="AD19" s="85">
        <f>'Jan-Nov'!BY18</f>
        <v>0</v>
      </c>
      <c r="AE19" s="88">
        <f>'Jan-Nov'!CA18</f>
        <v>0</v>
      </c>
      <c r="AF19" s="89">
        <f>'Jan-Nov'!CF18</f>
        <v>0</v>
      </c>
      <c r="AG19" s="87">
        <f>'Jan-Nov'!CH18</f>
        <v>0</v>
      </c>
      <c r="AH19" s="85">
        <f>'Jan-Nov'!CM18</f>
        <v>0</v>
      </c>
      <c r="AI19" s="126">
        <f t="shared" si="4"/>
        <v>0</v>
      </c>
      <c r="AJ19" s="90">
        <f t="shared" si="5"/>
        <v>0</v>
      </c>
      <c r="AK19" s="123"/>
      <c r="AL19" s="126">
        <f>'Data Gaji'!LG18</f>
        <v>0</v>
      </c>
      <c r="AM19" s="128">
        <f>'Jan-Nov'!CQ18</f>
        <v>0</v>
      </c>
      <c r="AN19" s="125">
        <f t="shared" si="51"/>
        <v>0</v>
      </c>
      <c r="AO19" s="77">
        <f t="shared" si="6"/>
        <v>0</v>
      </c>
      <c r="AP19" s="77">
        <f>'Data Gaji'!LO18</f>
        <v>0</v>
      </c>
      <c r="AQ19" s="77">
        <f>'Data Gaji'!LF18*12</f>
        <v>0</v>
      </c>
      <c r="AR19" s="77"/>
      <c r="AS19" s="77"/>
      <c r="AT19" s="75">
        <f t="shared" si="7"/>
        <v>0</v>
      </c>
      <c r="AU19" s="82"/>
      <c r="AV19" s="84">
        <f t="shared" si="8"/>
        <v>0</v>
      </c>
      <c r="AW19" s="76">
        <f t="shared" si="9"/>
        <v>0</v>
      </c>
      <c r="AX19" s="77">
        <f t="shared" si="10"/>
        <v>0</v>
      </c>
      <c r="AY19" s="77"/>
      <c r="AZ19" s="77"/>
      <c r="BA19" s="77"/>
      <c r="BB19" s="74">
        <f t="shared" si="11"/>
        <v>0</v>
      </c>
      <c r="BC19" s="78">
        <f t="shared" si="12"/>
        <v>0</v>
      </c>
      <c r="BD19" s="79">
        <f t="shared" si="1"/>
        <v>54000000</v>
      </c>
      <c r="BE19" s="80">
        <f t="shared" si="13"/>
        <v>0</v>
      </c>
      <c r="BF19" s="81">
        <f t="shared" si="14"/>
        <v>0</v>
      </c>
      <c r="BG19" s="157">
        <f t="shared" si="15"/>
        <v>0</v>
      </c>
      <c r="BH19" s="148">
        <f t="shared" si="16"/>
        <v>0</v>
      </c>
      <c r="BI19" s="83">
        <f t="shared" si="17"/>
        <v>0</v>
      </c>
      <c r="BK19" s="159">
        <f t="shared" si="18"/>
        <v>0</v>
      </c>
      <c r="BL19" s="146">
        <f t="shared" si="19"/>
        <v>0</v>
      </c>
      <c r="BM19" s="145"/>
      <c r="BN19" s="160">
        <f t="shared" si="20"/>
        <v>0</v>
      </c>
      <c r="BP19" s="262">
        <f t="shared" si="2"/>
        <v>12</v>
      </c>
      <c r="BQ19" s="250">
        <f t="shared" si="21"/>
        <v>2024</v>
      </c>
      <c r="BR19" s="250">
        <f t="shared" si="3"/>
        <v>0</v>
      </c>
      <c r="BS19" s="250">
        <f t="shared" si="22"/>
        <v>0</v>
      </c>
      <c r="BT19" s="250">
        <f t="shared" si="23"/>
        <v>0</v>
      </c>
      <c r="BU19" s="250" t="s">
        <v>150</v>
      </c>
      <c r="BV19" s="263">
        <f t="shared" si="24"/>
        <v>0</v>
      </c>
      <c r="BW19" s="264">
        <f t="shared" si="25"/>
        <v>0</v>
      </c>
      <c r="BX19" s="250"/>
      <c r="BY19" s="247"/>
      <c r="BZ19" s="269"/>
      <c r="CA19" s="269"/>
      <c r="CB19" s="269"/>
      <c r="CC19" s="269"/>
      <c r="CD19" s="269"/>
      <c r="CE19" s="269"/>
      <c r="CF19" s="265">
        <f t="shared" si="26"/>
        <v>0</v>
      </c>
      <c r="CG19" s="266">
        <f t="shared" si="54"/>
        <v>0</v>
      </c>
      <c r="CH19" s="265">
        <f t="shared" si="27"/>
        <v>0</v>
      </c>
      <c r="CI19" s="266" t="str">
        <f t="shared" si="28"/>
        <v>Bandung</v>
      </c>
      <c r="CJ19" s="265">
        <f t="shared" si="29"/>
        <v>0</v>
      </c>
      <c r="CK19" s="266" t="str">
        <f t="shared" si="30"/>
        <v>TK</v>
      </c>
      <c r="CL19" s="265">
        <f t="shared" si="31"/>
        <v>0</v>
      </c>
      <c r="CM19" s="265">
        <f t="shared" si="32"/>
        <v>0</v>
      </c>
      <c r="CN19" s="265" t="s">
        <v>189</v>
      </c>
      <c r="CO19" s="265"/>
      <c r="CP19" s="265" t="s">
        <v>206</v>
      </c>
      <c r="CQ19" s="267">
        <f t="shared" si="33"/>
        <v>0</v>
      </c>
      <c r="CR19" s="267">
        <f t="shared" si="34"/>
        <v>0</v>
      </c>
      <c r="CS19" s="267">
        <f t="shared" si="35"/>
        <v>0</v>
      </c>
      <c r="CT19" s="267">
        <f t="shared" si="36"/>
        <v>0</v>
      </c>
      <c r="CU19" s="267">
        <f t="shared" si="37"/>
        <v>0</v>
      </c>
      <c r="CV19" s="267">
        <f t="shared" si="38"/>
        <v>0</v>
      </c>
      <c r="CW19" s="267">
        <f t="shared" si="39"/>
        <v>0</v>
      </c>
      <c r="CX19" s="267">
        <f t="shared" si="40"/>
        <v>0</v>
      </c>
      <c r="CY19" s="267">
        <f t="shared" si="41"/>
        <v>0</v>
      </c>
      <c r="CZ19" s="267">
        <f t="shared" si="42"/>
        <v>0</v>
      </c>
      <c r="DA19" s="267">
        <f t="shared" si="43"/>
        <v>0</v>
      </c>
      <c r="DB19" s="267">
        <f t="shared" si="44"/>
        <v>0</v>
      </c>
      <c r="DC19" s="265">
        <v>11</v>
      </c>
      <c r="DD19" s="267">
        <f t="shared" si="45"/>
        <v>-11</v>
      </c>
      <c r="DE19" s="267">
        <f t="shared" si="46"/>
        <v>54000000</v>
      </c>
      <c r="DF19" s="267">
        <f t="shared" si="47"/>
        <v>0</v>
      </c>
      <c r="DG19" s="267">
        <f t="shared" si="48"/>
        <v>0</v>
      </c>
      <c r="DH19" s="265">
        <v>11</v>
      </c>
      <c r="DI19" s="267">
        <f t="shared" si="49"/>
        <v>0</v>
      </c>
      <c r="DJ19" s="267">
        <f t="shared" si="50"/>
        <v>0</v>
      </c>
      <c r="DK19" s="269"/>
      <c r="DL19" s="265">
        <f t="shared" si="53"/>
        <v>0</v>
      </c>
      <c r="DM19" s="265">
        <f t="shared" si="53"/>
        <v>0</v>
      </c>
      <c r="DN19" s="269"/>
    </row>
    <row r="20" spans="1:118" s="144" customFormat="1" x14ac:dyDescent="0.35">
      <c r="A20" s="68">
        <v>13</v>
      </c>
      <c r="B20" s="130"/>
      <c r="C20" s="73">
        <f>'Data Gaji'!C19</f>
        <v>0</v>
      </c>
      <c r="D20" s="54" t="s">
        <v>191</v>
      </c>
      <c r="E20" s="55">
        <v>0</v>
      </c>
      <c r="F20" s="279">
        <f>'Data Gaji'!E19</f>
        <v>0</v>
      </c>
      <c r="G20" s="56" t="str">
        <f t="shared" si="0"/>
        <v>N</v>
      </c>
      <c r="H20" s="277">
        <f>'Data Gaji'!G19</f>
        <v>0</v>
      </c>
      <c r="I20" s="58">
        <f>'Data Gaji'!H19</f>
        <v>0</v>
      </c>
      <c r="J20" s="54" t="s">
        <v>222</v>
      </c>
      <c r="K20" s="59">
        <f>'Data Gaji'!J19</f>
        <v>0</v>
      </c>
      <c r="L20" s="180">
        <f>'Jan-Nov'!K19</f>
        <v>0</v>
      </c>
      <c r="M20" s="182">
        <f>'Jan-Nov'!S19</f>
        <v>0</v>
      </c>
      <c r="N20" s="86">
        <f>'Jan-Nov'!U19</f>
        <v>0</v>
      </c>
      <c r="O20" s="87">
        <f>'Jan-Nov'!Z19</f>
        <v>0</v>
      </c>
      <c r="P20" s="87">
        <f>'Jan-Nov'!AB19</f>
        <v>0</v>
      </c>
      <c r="Q20" s="85">
        <f>'Jan-Nov'!AD19</f>
        <v>0</v>
      </c>
      <c r="R20" s="88">
        <f>'Jan-Nov'!AI19</f>
        <v>0</v>
      </c>
      <c r="S20" s="89">
        <f>'Jan-Nov'!AK19</f>
        <v>0</v>
      </c>
      <c r="T20" s="87">
        <f>'Jan-Nov'!AP19</f>
        <v>0</v>
      </c>
      <c r="U20" s="87">
        <f>'Jan-Nov'!AR19</f>
        <v>0</v>
      </c>
      <c r="V20" s="89">
        <f>'Jan-Nov'!AW19</f>
        <v>0</v>
      </c>
      <c r="W20" s="89">
        <f>'Jan-Nov'!AY19</f>
        <v>0</v>
      </c>
      <c r="X20" s="89">
        <f>'Jan-Nov'!BD19</f>
        <v>0</v>
      </c>
      <c r="Y20" s="89">
        <f>'Jan-Nov'!BF19</f>
        <v>0</v>
      </c>
      <c r="Z20" s="86">
        <f>'Jan-Nov'!BK19</f>
        <v>0</v>
      </c>
      <c r="AA20" s="86">
        <f>'Jan-Nov'!BM19</f>
        <v>0</v>
      </c>
      <c r="AB20" s="87">
        <f>'Jan-Nov'!BR19</f>
        <v>0</v>
      </c>
      <c r="AC20" s="87">
        <f>'Jan-Nov'!BT19</f>
        <v>0</v>
      </c>
      <c r="AD20" s="85">
        <f>'Jan-Nov'!BY19</f>
        <v>0</v>
      </c>
      <c r="AE20" s="88">
        <f>'Jan-Nov'!CA19</f>
        <v>0</v>
      </c>
      <c r="AF20" s="89">
        <f>'Jan-Nov'!CF19</f>
        <v>0</v>
      </c>
      <c r="AG20" s="87">
        <f>'Jan-Nov'!CH19</f>
        <v>0</v>
      </c>
      <c r="AH20" s="85">
        <f>'Jan-Nov'!CM19</f>
        <v>0</v>
      </c>
      <c r="AI20" s="126">
        <f t="shared" si="4"/>
        <v>0</v>
      </c>
      <c r="AJ20" s="90">
        <f t="shared" si="5"/>
        <v>0</v>
      </c>
      <c r="AK20" s="141"/>
      <c r="AL20" s="126">
        <f>'Data Gaji'!LG19</f>
        <v>0</v>
      </c>
      <c r="AM20" s="128">
        <f>'Jan-Nov'!CQ19</f>
        <v>0</v>
      </c>
      <c r="AN20" s="125">
        <f>AL20*12</f>
        <v>0</v>
      </c>
      <c r="AO20" s="77">
        <f t="shared" si="6"/>
        <v>0</v>
      </c>
      <c r="AP20" s="77">
        <f>'Data Gaji'!LO19</f>
        <v>0</v>
      </c>
      <c r="AQ20" s="77">
        <f>'Data Gaji'!LF19*12</f>
        <v>0</v>
      </c>
      <c r="AR20" s="77"/>
      <c r="AS20" s="77"/>
      <c r="AT20" s="75">
        <f t="shared" si="7"/>
        <v>0</v>
      </c>
      <c r="AU20" s="82"/>
      <c r="AV20" s="84">
        <f t="shared" si="8"/>
        <v>0</v>
      </c>
      <c r="AW20" s="76">
        <f t="shared" si="9"/>
        <v>0</v>
      </c>
      <c r="AX20" s="77">
        <f t="shared" si="10"/>
        <v>0</v>
      </c>
      <c r="AY20" s="77"/>
      <c r="AZ20" s="77"/>
      <c r="BA20" s="77"/>
      <c r="BB20" s="74">
        <f t="shared" si="11"/>
        <v>0</v>
      </c>
      <c r="BC20" s="78">
        <f t="shared" si="12"/>
        <v>0</v>
      </c>
      <c r="BD20" s="79">
        <f t="shared" ref="BD20:BD25" si="55">IF(L20="K0",58500000,IF(L20="K1",63000000,IF(L20="K2",67500000,IF(L20="K3",72000000,IF(L20="TK0",54000000,IF(L20="TK1",58500000,IF(L20="TK2",63000000,IF(L20="TK3",67500000,54000000))))))))</f>
        <v>54000000</v>
      </c>
      <c r="BE20" s="80">
        <f t="shared" ref="BE20:BE25" si="56">IF(BC20&lt;BD20,0,+BC20-BD20)</f>
        <v>0</v>
      </c>
      <c r="BF20" s="81">
        <f t="shared" ref="BF20:BF25" si="57">INT((BE20)/1000)*1000</f>
        <v>0</v>
      </c>
      <c r="BG20" s="157">
        <f t="shared" ref="BG20:BG25" si="58">IF(BF20&lt;=60000000,BF20*5%,IF(BF20&lt;=250000000,(BF20-50000000)*15%+3000000,IF(BF20&lt;=500000000,(BF20-250000000)*25%+31500000,IF(BF20&gt;500000000,(BF20-500000000)*30%+94000000,IF(BF20&gt;5000000000,(BF20-5000000000)*35%+1444000000)))))</f>
        <v>0</v>
      </c>
      <c r="BH20" s="148">
        <f t="shared" ref="BH20:BH25" si="59">AJ20</f>
        <v>0</v>
      </c>
      <c r="BI20" s="83">
        <f t="shared" ref="BI20:BI25" si="60">ROUND(BG20-BH20,0)</f>
        <v>0</v>
      </c>
      <c r="BK20" s="159">
        <f t="shared" ref="BK20" si="61">INT((+BE20-AO20)/1000)*1000</f>
        <v>0</v>
      </c>
      <c r="BL20" s="146">
        <f t="shared" ref="BL20:BL25" si="62">IF(BK20&lt;57000000,BK20*5/95,IF(BK20&gt;406000000,((+BK20-406000000)*30/70)+94000000,IF(218500000&lt;BK20&lt;=406000000,((BK20-218500000)*25/75)+31500000,IF(218500000=BK20&gt;57000000,((BK20-57000000)*15/85)+3000000))))</f>
        <v>0</v>
      </c>
      <c r="BM20" s="145"/>
      <c r="BN20" s="160">
        <f t="shared" ref="BN20:BN25" si="63">BG20-BM20</f>
        <v>0</v>
      </c>
      <c r="BP20" s="262">
        <f t="shared" si="2"/>
        <v>12</v>
      </c>
      <c r="BQ20" s="250">
        <f t="shared" si="21"/>
        <v>2024</v>
      </c>
      <c r="BR20" s="250">
        <f t="shared" si="3"/>
        <v>0</v>
      </c>
      <c r="BS20" s="250">
        <f t="shared" ref="BS20:BS25" si="64">F20</f>
        <v>0</v>
      </c>
      <c r="BT20" s="250">
        <f t="shared" ref="BT20:BT25" si="65">H20</f>
        <v>0</v>
      </c>
      <c r="BU20" s="250" t="s">
        <v>150</v>
      </c>
      <c r="BV20" s="263">
        <f t="shared" ref="BV20:BV25" si="66">ROUND(AL20,0)</f>
        <v>0</v>
      </c>
      <c r="BW20" s="264">
        <f t="shared" ref="BW20:BW25" si="67">ROUND(BI20,0)</f>
        <v>0</v>
      </c>
      <c r="BX20" s="250"/>
      <c r="BY20" s="270"/>
      <c r="BZ20" s="271"/>
      <c r="CA20" s="271"/>
      <c r="CB20" s="271"/>
      <c r="CC20" s="271"/>
      <c r="CD20" s="271"/>
      <c r="CE20" s="271"/>
      <c r="CF20" s="265">
        <f t="shared" ref="CF20:CF25" si="68">F20</f>
        <v>0</v>
      </c>
      <c r="CG20" s="266">
        <f t="shared" ref="CG20:CG25" si="69">C20</f>
        <v>0</v>
      </c>
      <c r="CH20" s="265">
        <f t="shared" ref="CH20:CH25" si="70">H20</f>
        <v>0</v>
      </c>
      <c r="CI20" s="266" t="str">
        <f t="shared" ref="CI20:CI25" si="71">J20</f>
        <v>Jawa Timur</v>
      </c>
      <c r="CJ20" s="265">
        <f t="shared" ref="CJ20:CJ25" si="72">I20</f>
        <v>0</v>
      </c>
      <c r="CK20" s="266" t="str">
        <f t="shared" ref="CK20:CK25" si="73">D20</f>
        <v>TK</v>
      </c>
      <c r="CL20" s="265">
        <f t="shared" ref="CL20:CL25" si="74">E20</f>
        <v>0</v>
      </c>
      <c r="CM20" s="265">
        <f t="shared" ref="CM20:CM25" si="75">K20</f>
        <v>0</v>
      </c>
      <c r="CN20" s="265" t="s">
        <v>189</v>
      </c>
      <c r="CO20" s="265"/>
      <c r="CP20" s="265" t="s">
        <v>207</v>
      </c>
      <c r="CQ20" s="267">
        <f t="shared" ref="CQ20:CQ25" si="76">ROUND(AN20,0)</f>
        <v>0</v>
      </c>
      <c r="CR20" s="267">
        <f t="shared" ref="CR20:CR25" si="77">ROUND(AO20,0)</f>
        <v>0</v>
      </c>
      <c r="CS20" s="267">
        <f t="shared" ref="CS20:CS25" si="78">ROUND(AP20,0)</f>
        <v>0</v>
      </c>
      <c r="CT20" s="267">
        <f t="shared" ref="CT20:CT25" si="79">ROUND(AR20,0)</f>
        <v>0</v>
      </c>
      <c r="CU20" s="267">
        <f t="shared" ref="CU20:CU25" si="80">ROUND(AQ20,0)</f>
        <v>0</v>
      </c>
      <c r="CV20" s="267">
        <f t="shared" ref="CV20:CV25" si="81">ROUND(AS20,0)</f>
        <v>0</v>
      </c>
      <c r="CW20" s="267">
        <f t="shared" ref="CW20:CW25" si="82">ROUND(AU20,0)</f>
        <v>0</v>
      </c>
      <c r="CX20" s="267">
        <f t="shared" ref="CX20:CX25" si="83">ROUND(AV20,0)</f>
        <v>0</v>
      </c>
      <c r="CY20" s="267">
        <f t="shared" ref="CY20:CY25" si="84">ROUND(AW20,0)</f>
        <v>0</v>
      </c>
      <c r="CZ20" s="267">
        <f t="shared" ref="CZ20:CZ25" si="85">ROUND(BA20,0)</f>
        <v>0</v>
      </c>
      <c r="DA20" s="267">
        <f t="shared" ref="DA20:DA25" si="86">ROUND(BB20,0)</f>
        <v>0</v>
      </c>
      <c r="DB20" s="267">
        <f t="shared" ref="DB20:DB25" si="87">ROUND(BC20,0)</f>
        <v>0</v>
      </c>
      <c r="DC20" s="265">
        <v>12</v>
      </c>
      <c r="DD20" s="267">
        <f t="shared" ref="DD20:DD25" si="88">ROUND(DB20-DC20,0)</f>
        <v>-12</v>
      </c>
      <c r="DE20" s="267">
        <f t="shared" ref="DE20:DE25" si="89">ROUND(BD20,0)</f>
        <v>54000000</v>
      </c>
      <c r="DF20" s="267">
        <f t="shared" ref="DF20:DF25" si="90">ROUND(BE20,0)</f>
        <v>0</v>
      </c>
      <c r="DG20" s="267">
        <f t="shared" ref="DG20:DG25" si="91">ROUND(BG20,0)</f>
        <v>0</v>
      </c>
      <c r="DH20" s="265">
        <v>12</v>
      </c>
      <c r="DI20" s="267">
        <f t="shared" ref="DI20:DI25" si="92">ROUND(BG20,0)</f>
        <v>0</v>
      </c>
      <c r="DJ20" s="267">
        <f t="shared" ref="DJ20:DJ25" si="93">ROUND(DI20,0)</f>
        <v>0</v>
      </c>
      <c r="DK20" s="271"/>
      <c r="DL20" s="265">
        <f>DL13</f>
        <v>0</v>
      </c>
      <c r="DM20" s="265">
        <f>DM13</f>
        <v>0</v>
      </c>
      <c r="DN20" s="271"/>
    </row>
    <row r="21" spans="1:118" x14ac:dyDescent="0.35">
      <c r="A21" s="68">
        <v>14</v>
      </c>
      <c r="B21" s="69"/>
      <c r="C21" s="73">
        <f>'Data Gaji'!C20</f>
        <v>0</v>
      </c>
      <c r="D21" s="54" t="s">
        <v>191</v>
      </c>
      <c r="E21" s="55">
        <v>0</v>
      </c>
      <c r="F21" s="279">
        <f>'Data Gaji'!E20</f>
        <v>0</v>
      </c>
      <c r="G21" s="56" t="str">
        <f t="shared" si="0"/>
        <v>N</v>
      </c>
      <c r="H21" s="277">
        <f>'Data Gaji'!G20</f>
        <v>0</v>
      </c>
      <c r="I21" s="58">
        <f>'Data Gaji'!H20</f>
        <v>0</v>
      </c>
      <c r="J21" s="54" t="s">
        <v>224</v>
      </c>
      <c r="K21" s="59">
        <f>'Data Gaji'!J20</f>
        <v>0</v>
      </c>
      <c r="L21" s="180">
        <f>'Jan-Nov'!K20</f>
        <v>0</v>
      </c>
      <c r="M21" s="182">
        <f>'Jan-Nov'!S20</f>
        <v>0</v>
      </c>
      <c r="N21" s="86">
        <f>'Jan-Nov'!U20</f>
        <v>0</v>
      </c>
      <c r="O21" s="87">
        <f>'Jan-Nov'!Z20</f>
        <v>0</v>
      </c>
      <c r="P21" s="87">
        <f>'Jan-Nov'!AB20</f>
        <v>0</v>
      </c>
      <c r="Q21" s="85">
        <f>'Jan-Nov'!AD20</f>
        <v>0</v>
      </c>
      <c r="R21" s="88">
        <f>'Jan-Nov'!AI20</f>
        <v>0</v>
      </c>
      <c r="S21" s="89">
        <f>'Jan-Nov'!AK20</f>
        <v>0</v>
      </c>
      <c r="T21" s="87">
        <f>'Jan-Nov'!AP20</f>
        <v>0</v>
      </c>
      <c r="U21" s="87">
        <f>'Jan-Nov'!AR20</f>
        <v>0</v>
      </c>
      <c r="V21" s="89">
        <f>'Jan-Nov'!AW20</f>
        <v>0</v>
      </c>
      <c r="W21" s="89">
        <f>'Jan-Nov'!AY20</f>
        <v>0</v>
      </c>
      <c r="X21" s="89">
        <f>'Jan-Nov'!BD20</f>
        <v>0</v>
      </c>
      <c r="Y21" s="89">
        <f>'Jan-Nov'!BF20</f>
        <v>0</v>
      </c>
      <c r="Z21" s="86">
        <f>'Jan-Nov'!BK20</f>
        <v>0</v>
      </c>
      <c r="AA21" s="86">
        <f>'Jan-Nov'!BM20</f>
        <v>0</v>
      </c>
      <c r="AB21" s="87">
        <f>'Jan-Nov'!BR20</f>
        <v>0</v>
      </c>
      <c r="AC21" s="87">
        <f>'Jan-Nov'!BT20</f>
        <v>0</v>
      </c>
      <c r="AD21" s="85">
        <f>'Jan-Nov'!BY20</f>
        <v>0</v>
      </c>
      <c r="AE21" s="88">
        <f>'Jan-Nov'!CA20</f>
        <v>0</v>
      </c>
      <c r="AF21" s="89">
        <f>'Jan-Nov'!CF20</f>
        <v>0</v>
      </c>
      <c r="AG21" s="87">
        <f>'Jan-Nov'!CH20</f>
        <v>0</v>
      </c>
      <c r="AH21" s="85">
        <f>'Jan-Nov'!CM20</f>
        <v>0</v>
      </c>
      <c r="AI21" s="126">
        <f t="shared" si="4"/>
        <v>0</v>
      </c>
      <c r="AJ21" s="90">
        <f t="shared" si="5"/>
        <v>0</v>
      </c>
      <c r="AK21" s="123"/>
      <c r="AL21" s="126">
        <f>'Data Gaji'!LG20</f>
        <v>0</v>
      </c>
      <c r="AM21" s="128">
        <f>'Jan-Nov'!CQ20</f>
        <v>0</v>
      </c>
      <c r="AN21" s="125">
        <f>AI21+AL21</f>
        <v>0</v>
      </c>
      <c r="AO21" s="77">
        <f t="shared" si="6"/>
        <v>0</v>
      </c>
      <c r="AP21" s="77">
        <f>'Data Gaji'!LO20</f>
        <v>0</v>
      </c>
      <c r="AQ21" s="77">
        <f>'Data Gaji'!LF20*12</f>
        <v>0</v>
      </c>
      <c r="AR21" s="77"/>
      <c r="AS21" s="77"/>
      <c r="AT21" s="75">
        <f t="shared" si="7"/>
        <v>0</v>
      </c>
      <c r="AU21" s="82"/>
      <c r="AV21" s="84">
        <f t="shared" si="8"/>
        <v>0</v>
      </c>
      <c r="AW21" s="76">
        <f t="shared" si="9"/>
        <v>0</v>
      </c>
      <c r="AX21" s="77">
        <f t="shared" si="10"/>
        <v>0</v>
      </c>
      <c r="AY21" s="77"/>
      <c r="AZ21" s="77"/>
      <c r="BA21" s="77"/>
      <c r="BB21" s="74">
        <f t="shared" si="11"/>
        <v>0</v>
      </c>
      <c r="BC21" s="78">
        <f t="shared" si="12"/>
        <v>0</v>
      </c>
      <c r="BD21" s="79">
        <f t="shared" si="55"/>
        <v>54000000</v>
      </c>
      <c r="BE21" s="80">
        <f t="shared" si="56"/>
        <v>0</v>
      </c>
      <c r="BF21" s="81">
        <f t="shared" si="57"/>
        <v>0</v>
      </c>
      <c r="BG21" s="157">
        <f t="shared" si="58"/>
        <v>0</v>
      </c>
      <c r="BH21" s="148">
        <f t="shared" si="59"/>
        <v>0</v>
      </c>
      <c r="BI21" s="83">
        <f t="shared" si="60"/>
        <v>0</v>
      </c>
      <c r="BK21" s="159">
        <f>INT((+BE21-AO21)/1000)*1000</f>
        <v>0</v>
      </c>
      <c r="BL21" s="146">
        <f t="shared" si="62"/>
        <v>0</v>
      </c>
      <c r="BM21" s="145"/>
      <c r="BN21" s="160">
        <f t="shared" si="63"/>
        <v>0</v>
      </c>
      <c r="BP21" s="262">
        <f t="shared" si="2"/>
        <v>12</v>
      </c>
      <c r="BQ21" s="250">
        <f t="shared" si="21"/>
        <v>2024</v>
      </c>
      <c r="BR21" s="250">
        <f t="shared" si="3"/>
        <v>0</v>
      </c>
      <c r="BS21" s="250">
        <f t="shared" si="64"/>
        <v>0</v>
      </c>
      <c r="BT21" s="250">
        <f t="shared" si="65"/>
        <v>0</v>
      </c>
      <c r="BU21" s="250" t="s">
        <v>151</v>
      </c>
      <c r="BV21" s="263">
        <f t="shared" si="66"/>
        <v>0</v>
      </c>
      <c r="BW21" s="264">
        <f t="shared" si="67"/>
        <v>0</v>
      </c>
      <c r="BX21" s="250"/>
      <c r="BY21" s="247"/>
      <c r="BZ21" s="269"/>
      <c r="CA21" s="269"/>
      <c r="CB21" s="269"/>
      <c r="CC21" s="269"/>
      <c r="CD21" s="269"/>
      <c r="CE21" s="269"/>
      <c r="CF21" s="265">
        <f t="shared" si="68"/>
        <v>0</v>
      </c>
      <c r="CG21" s="266">
        <f t="shared" si="69"/>
        <v>0</v>
      </c>
      <c r="CH21" s="265">
        <f t="shared" si="70"/>
        <v>0</v>
      </c>
      <c r="CI21" s="266" t="str">
        <f t="shared" si="71"/>
        <v>Jawa Barat</v>
      </c>
      <c r="CJ21" s="265">
        <f t="shared" si="72"/>
        <v>0</v>
      </c>
      <c r="CK21" s="266" t="str">
        <f t="shared" si="73"/>
        <v>TK</v>
      </c>
      <c r="CL21" s="265">
        <f t="shared" si="74"/>
        <v>0</v>
      </c>
      <c r="CM21" s="265">
        <f t="shared" si="75"/>
        <v>0</v>
      </c>
      <c r="CN21" s="265" t="s">
        <v>189</v>
      </c>
      <c r="CO21" s="265"/>
      <c r="CP21" s="265" t="s">
        <v>208</v>
      </c>
      <c r="CQ21" s="267">
        <f t="shared" si="76"/>
        <v>0</v>
      </c>
      <c r="CR21" s="267">
        <f t="shared" si="77"/>
        <v>0</v>
      </c>
      <c r="CS21" s="267">
        <f t="shared" si="78"/>
        <v>0</v>
      </c>
      <c r="CT21" s="267">
        <f t="shared" si="79"/>
        <v>0</v>
      </c>
      <c r="CU21" s="267">
        <f t="shared" si="80"/>
        <v>0</v>
      </c>
      <c r="CV21" s="267">
        <f t="shared" si="81"/>
        <v>0</v>
      </c>
      <c r="CW21" s="267">
        <f t="shared" si="82"/>
        <v>0</v>
      </c>
      <c r="CX21" s="267">
        <f t="shared" si="83"/>
        <v>0</v>
      </c>
      <c r="CY21" s="267">
        <f t="shared" si="84"/>
        <v>0</v>
      </c>
      <c r="CZ21" s="267">
        <f t="shared" si="85"/>
        <v>0</v>
      </c>
      <c r="DA21" s="267">
        <f t="shared" si="86"/>
        <v>0</v>
      </c>
      <c r="DB21" s="267">
        <f t="shared" si="87"/>
        <v>0</v>
      </c>
      <c r="DC21" s="265">
        <v>13</v>
      </c>
      <c r="DD21" s="267">
        <f t="shared" si="88"/>
        <v>-13</v>
      </c>
      <c r="DE21" s="267">
        <f t="shared" si="89"/>
        <v>54000000</v>
      </c>
      <c r="DF21" s="267">
        <f t="shared" si="90"/>
        <v>0</v>
      </c>
      <c r="DG21" s="267">
        <f t="shared" si="91"/>
        <v>0</v>
      </c>
      <c r="DH21" s="265">
        <v>13</v>
      </c>
      <c r="DI21" s="267">
        <f t="shared" si="92"/>
        <v>0</v>
      </c>
      <c r="DJ21" s="267">
        <f t="shared" si="93"/>
        <v>0</v>
      </c>
      <c r="DK21" s="269"/>
      <c r="DL21" s="265">
        <f t="shared" ref="DL21:DM21" si="94">DL20</f>
        <v>0</v>
      </c>
      <c r="DM21" s="265">
        <f t="shared" si="94"/>
        <v>0</v>
      </c>
      <c r="DN21" s="269"/>
    </row>
    <row r="22" spans="1:118" x14ac:dyDescent="0.35">
      <c r="A22" s="68">
        <v>15</v>
      </c>
      <c r="B22" s="69"/>
      <c r="C22" s="73">
        <f>'Data Gaji'!C21</f>
        <v>0</v>
      </c>
      <c r="D22" s="54" t="s">
        <v>191</v>
      </c>
      <c r="E22" s="55">
        <v>0</v>
      </c>
      <c r="F22" s="279">
        <f>'Data Gaji'!E21</f>
        <v>0</v>
      </c>
      <c r="G22" s="56" t="str">
        <f t="shared" si="0"/>
        <v>N</v>
      </c>
      <c r="H22" s="277">
        <f>'Data Gaji'!G21</f>
        <v>0</v>
      </c>
      <c r="I22" s="58">
        <f>'Data Gaji'!H21</f>
        <v>0</v>
      </c>
      <c r="J22" s="54" t="s">
        <v>225</v>
      </c>
      <c r="K22" s="59">
        <f>'Data Gaji'!J21</f>
        <v>0</v>
      </c>
      <c r="L22" s="180">
        <f>'Jan-Nov'!K21</f>
        <v>0</v>
      </c>
      <c r="M22" s="182">
        <f>'Jan-Nov'!S21</f>
        <v>0</v>
      </c>
      <c r="N22" s="86">
        <f>'Jan-Nov'!U21</f>
        <v>0</v>
      </c>
      <c r="O22" s="87">
        <f>'Jan-Nov'!Z21</f>
        <v>0</v>
      </c>
      <c r="P22" s="87">
        <f>'Jan-Nov'!AB21</f>
        <v>0</v>
      </c>
      <c r="Q22" s="85">
        <f>'Jan-Nov'!AD21</f>
        <v>0</v>
      </c>
      <c r="R22" s="88">
        <f>'Jan-Nov'!AI21</f>
        <v>0</v>
      </c>
      <c r="S22" s="89">
        <f>'Jan-Nov'!AK21</f>
        <v>0</v>
      </c>
      <c r="T22" s="87">
        <f>'Jan-Nov'!AP21</f>
        <v>0</v>
      </c>
      <c r="U22" s="87">
        <f>'Jan-Nov'!AR21</f>
        <v>0</v>
      </c>
      <c r="V22" s="89">
        <f>'Jan-Nov'!AW21</f>
        <v>0</v>
      </c>
      <c r="W22" s="89">
        <f>'Jan-Nov'!AY21</f>
        <v>0</v>
      </c>
      <c r="X22" s="89">
        <f>'Jan-Nov'!BD21</f>
        <v>0</v>
      </c>
      <c r="Y22" s="89">
        <f>'Jan-Nov'!BF21</f>
        <v>0</v>
      </c>
      <c r="Z22" s="86">
        <f>'Jan-Nov'!BK21</f>
        <v>0</v>
      </c>
      <c r="AA22" s="86">
        <f>'Jan-Nov'!BM21</f>
        <v>0</v>
      </c>
      <c r="AB22" s="87">
        <f>'Jan-Nov'!BR21</f>
        <v>0</v>
      </c>
      <c r="AC22" s="87">
        <f>'Jan-Nov'!BT21</f>
        <v>0</v>
      </c>
      <c r="AD22" s="85">
        <f>'Jan-Nov'!BY21</f>
        <v>0</v>
      </c>
      <c r="AE22" s="88">
        <f>'Jan-Nov'!CA21</f>
        <v>0</v>
      </c>
      <c r="AF22" s="89">
        <f>'Jan-Nov'!CF21</f>
        <v>0</v>
      </c>
      <c r="AG22" s="87">
        <f>'Jan-Nov'!CH21</f>
        <v>0</v>
      </c>
      <c r="AH22" s="85">
        <f>'Jan-Nov'!CM21</f>
        <v>0</v>
      </c>
      <c r="AI22" s="126">
        <f t="shared" si="4"/>
        <v>0</v>
      </c>
      <c r="AJ22" s="90">
        <f t="shared" si="5"/>
        <v>0</v>
      </c>
      <c r="AK22" s="123"/>
      <c r="AL22" s="126">
        <f>'Data Gaji'!LG21</f>
        <v>0</v>
      </c>
      <c r="AM22" s="128">
        <f>'Jan-Nov'!CQ21</f>
        <v>0</v>
      </c>
      <c r="AN22" s="125">
        <f t="shared" ref="AN22:AN24" si="95">AI22+AL22</f>
        <v>0</v>
      </c>
      <c r="AO22" s="77">
        <f t="shared" si="6"/>
        <v>0</v>
      </c>
      <c r="AP22" s="77">
        <f>'Data Gaji'!LO21</f>
        <v>0</v>
      </c>
      <c r="AQ22" s="77">
        <f>'Data Gaji'!LF21*12</f>
        <v>0</v>
      </c>
      <c r="AR22" s="77"/>
      <c r="AS22" s="77"/>
      <c r="AT22" s="75">
        <f t="shared" si="7"/>
        <v>0</v>
      </c>
      <c r="AU22" s="82"/>
      <c r="AV22" s="84">
        <f t="shared" si="8"/>
        <v>0</v>
      </c>
      <c r="AW22" s="76">
        <f t="shared" si="9"/>
        <v>0</v>
      </c>
      <c r="AX22" s="77">
        <f t="shared" si="10"/>
        <v>0</v>
      </c>
      <c r="AY22" s="77"/>
      <c r="AZ22" s="77"/>
      <c r="BA22" s="77"/>
      <c r="BB22" s="74">
        <f t="shared" si="11"/>
        <v>0</v>
      </c>
      <c r="BC22" s="78">
        <f t="shared" si="12"/>
        <v>0</v>
      </c>
      <c r="BD22" s="79">
        <f t="shared" si="55"/>
        <v>54000000</v>
      </c>
      <c r="BE22" s="80">
        <f t="shared" si="56"/>
        <v>0</v>
      </c>
      <c r="BF22" s="81">
        <f t="shared" si="57"/>
        <v>0</v>
      </c>
      <c r="BG22" s="157">
        <f t="shared" si="58"/>
        <v>0</v>
      </c>
      <c r="BH22" s="148">
        <f t="shared" si="59"/>
        <v>0</v>
      </c>
      <c r="BI22" s="83">
        <f t="shared" si="60"/>
        <v>0</v>
      </c>
      <c r="BK22" s="159">
        <f t="shared" ref="BK22:BK25" si="96">INT((+BE22-AO22)/1000)*1000</f>
        <v>0</v>
      </c>
      <c r="BL22" s="146">
        <f t="shared" si="62"/>
        <v>0</v>
      </c>
      <c r="BM22" s="145"/>
      <c r="BN22" s="160">
        <f t="shared" si="63"/>
        <v>0</v>
      </c>
      <c r="BP22" s="262">
        <f t="shared" si="2"/>
        <v>12</v>
      </c>
      <c r="BQ22" s="250">
        <f t="shared" si="21"/>
        <v>2024</v>
      </c>
      <c r="BR22" s="250">
        <f t="shared" si="3"/>
        <v>0</v>
      </c>
      <c r="BS22" s="250">
        <f t="shared" si="64"/>
        <v>0</v>
      </c>
      <c r="BT22" s="250">
        <f t="shared" si="65"/>
        <v>0</v>
      </c>
      <c r="BU22" s="250" t="s">
        <v>152</v>
      </c>
      <c r="BV22" s="263">
        <f t="shared" si="66"/>
        <v>0</v>
      </c>
      <c r="BW22" s="264">
        <f t="shared" si="67"/>
        <v>0</v>
      </c>
      <c r="BX22" s="250"/>
      <c r="BY22" s="247"/>
      <c r="BZ22" s="269"/>
      <c r="CA22" s="269"/>
      <c r="CB22" s="269"/>
      <c r="CC22" s="269"/>
      <c r="CD22" s="269"/>
      <c r="CE22" s="269"/>
      <c r="CF22" s="265">
        <f t="shared" si="68"/>
        <v>0</v>
      </c>
      <c r="CG22" s="266">
        <f t="shared" si="69"/>
        <v>0</v>
      </c>
      <c r="CH22" s="265">
        <f t="shared" si="70"/>
        <v>0</v>
      </c>
      <c r="CI22" s="266" t="str">
        <f t="shared" si="71"/>
        <v>Balikpapan</v>
      </c>
      <c r="CJ22" s="265">
        <f t="shared" si="72"/>
        <v>0</v>
      </c>
      <c r="CK22" s="266" t="str">
        <f t="shared" si="73"/>
        <v>TK</v>
      </c>
      <c r="CL22" s="265">
        <f t="shared" si="74"/>
        <v>0</v>
      </c>
      <c r="CM22" s="265">
        <f t="shared" si="75"/>
        <v>0</v>
      </c>
      <c r="CN22" s="265" t="s">
        <v>189</v>
      </c>
      <c r="CO22" s="265"/>
      <c r="CP22" s="265" t="s">
        <v>209</v>
      </c>
      <c r="CQ22" s="267">
        <f t="shared" si="76"/>
        <v>0</v>
      </c>
      <c r="CR22" s="267">
        <f t="shared" si="77"/>
        <v>0</v>
      </c>
      <c r="CS22" s="267">
        <f t="shared" si="78"/>
        <v>0</v>
      </c>
      <c r="CT22" s="267">
        <f t="shared" si="79"/>
        <v>0</v>
      </c>
      <c r="CU22" s="267">
        <f t="shared" si="80"/>
        <v>0</v>
      </c>
      <c r="CV22" s="267">
        <f t="shared" si="81"/>
        <v>0</v>
      </c>
      <c r="CW22" s="267">
        <f t="shared" si="82"/>
        <v>0</v>
      </c>
      <c r="CX22" s="267">
        <f t="shared" si="83"/>
        <v>0</v>
      </c>
      <c r="CY22" s="267">
        <f t="shared" si="84"/>
        <v>0</v>
      </c>
      <c r="CZ22" s="267">
        <f t="shared" si="85"/>
        <v>0</v>
      </c>
      <c r="DA22" s="267">
        <f t="shared" si="86"/>
        <v>0</v>
      </c>
      <c r="DB22" s="267">
        <f t="shared" si="87"/>
        <v>0</v>
      </c>
      <c r="DC22" s="265">
        <v>14</v>
      </c>
      <c r="DD22" s="267">
        <f t="shared" si="88"/>
        <v>-14</v>
      </c>
      <c r="DE22" s="267">
        <f t="shared" si="89"/>
        <v>54000000</v>
      </c>
      <c r="DF22" s="267">
        <f t="shared" si="90"/>
        <v>0</v>
      </c>
      <c r="DG22" s="267">
        <f t="shared" si="91"/>
        <v>0</v>
      </c>
      <c r="DH22" s="265">
        <v>14</v>
      </c>
      <c r="DI22" s="267">
        <f t="shared" si="92"/>
        <v>0</v>
      </c>
      <c r="DJ22" s="267">
        <f t="shared" si="93"/>
        <v>0</v>
      </c>
      <c r="DK22" s="269"/>
      <c r="DL22" s="265">
        <f t="shared" ref="DL22:DM22" si="97">DL21</f>
        <v>0</v>
      </c>
      <c r="DM22" s="265">
        <f t="shared" si="97"/>
        <v>0</v>
      </c>
      <c r="DN22" s="269"/>
    </row>
    <row r="23" spans="1:118" x14ac:dyDescent="0.35">
      <c r="A23" s="68">
        <v>16</v>
      </c>
      <c r="B23" s="69"/>
      <c r="C23" s="73">
        <f>'Data Gaji'!C22</f>
        <v>0</v>
      </c>
      <c r="D23" s="54" t="s">
        <v>191</v>
      </c>
      <c r="E23" s="55">
        <v>0</v>
      </c>
      <c r="F23" s="279">
        <f>'Data Gaji'!E22</f>
        <v>0</v>
      </c>
      <c r="G23" s="56" t="str">
        <f t="shared" si="0"/>
        <v>N</v>
      </c>
      <c r="H23" s="277">
        <f>'Data Gaji'!G22</f>
        <v>0</v>
      </c>
      <c r="I23" s="58">
        <f>'Data Gaji'!H22</f>
        <v>0</v>
      </c>
      <c r="J23" s="54" t="s">
        <v>222</v>
      </c>
      <c r="K23" s="59">
        <f>'Data Gaji'!J22</f>
        <v>0</v>
      </c>
      <c r="L23" s="180">
        <f>'Jan-Nov'!K22</f>
        <v>0</v>
      </c>
      <c r="M23" s="182">
        <f>'Jan-Nov'!S22</f>
        <v>0</v>
      </c>
      <c r="N23" s="86">
        <f>'Jan-Nov'!U22</f>
        <v>0</v>
      </c>
      <c r="O23" s="87">
        <f>'Jan-Nov'!Z22</f>
        <v>0</v>
      </c>
      <c r="P23" s="87">
        <f>'Jan-Nov'!AB22</f>
        <v>0</v>
      </c>
      <c r="Q23" s="85">
        <f>'Jan-Nov'!AD22</f>
        <v>0</v>
      </c>
      <c r="R23" s="88">
        <f>'Jan-Nov'!AI22</f>
        <v>0</v>
      </c>
      <c r="S23" s="89">
        <f>'Jan-Nov'!AK22</f>
        <v>0</v>
      </c>
      <c r="T23" s="87">
        <f>'Jan-Nov'!AP22</f>
        <v>0</v>
      </c>
      <c r="U23" s="87">
        <f>'Jan-Nov'!AR22</f>
        <v>0</v>
      </c>
      <c r="V23" s="89">
        <f>'Jan-Nov'!AW22</f>
        <v>0</v>
      </c>
      <c r="W23" s="89">
        <f>'Jan-Nov'!AY22</f>
        <v>0</v>
      </c>
      <c r="X23" s="89">
        <f>'Jan-Nov'!BD22</f>
        <v>0</v>
      </c>
      <c r="Y23" s="89">
        <f>'Jan-Nov'!BF22</f>
        <v>0</v>
      </c>
      <c r="Z23" s="86">
        <f>'Jan-Nov'!BK22</f>
        <v>0</v>
      </c>
      <c r="AA23" s="86">
        <f>'Jan-Nov'!BM22</f>
        <v>0</v>
      </c>
      <c r="AB23" s="87">
        <f>'Jan-Nov'!BR22</f>
        <v>0</v>
      </c>
      <c r="AC23" s="87">
        <f>'Jan-Nov'!BT22</f>
        <v>0</v>
      </c>
      <c r="AD23" s="85">
        <f>'Jan-Nov'!BY22</f>
        <v>0</v>
      </c>
      <c r="AE23" s="88">
        <f>'Jan-Nov'!CA22</f>
        <v>0</v>
      </c>
      <c r="AF23" s="89">
        <f>'Jan-Nov'!CF22</f>
        <v>0</v>
      </c>
      <c r="AG23" s="87">
        <f>'Jan-Nov'!CH22</f>
        <v>0</v>
      </c>
      <c r="AH23" s="85">
        <f>'Jan-Nov'!CM22</f>
        <v>0</v>
      </c>
      <c r="AI23" s="126">
        <f t="shared" si="4"/>
        <v>0</v>
      </c>
      <c r="AJ23" s="90">
        <f t="shared" si="5"/>
        <v>0</v>
      </c>
      <c r="AK23" s="123"/>
      <c r="AL23" s="126">
        <f>'Data Gaji'!LG22</f>
        <v>0</v>
      </c>
      <c r="AM23" s="128">
        <f>'Jan-Nov'!CQ22</f>
        <v>0</v>
      </c>
      <c r="AN23" s="125">
        <f t="shared" si="95"/>
        <v>0</v>
      </c>
      <c r="AO23" s="77">
        <f t="shared" si="6"/>
        <v>0</v>
      </c>
      <c r="AP23" s="77">
        <f>'Data Gaji'!LO22</f>
        <v>0</v>
      </c>
      <c r="AQ23" s="77">
        <f>'Data Gaji'!LF22*12</f>
        <v>0</v>
      </c>
      <c r="AR23" s="77"/>
      <c r="AS23" s="77"/>
      <c r="AT23" s="75">
        <f t="shared" si="7"/>
        <v>0</v>
      </c>
      <c r="AU23" s="82"/>
      <c r="AV23" s="84">
        <f t="shared" si="8"/>
        <v>0</v>
      </c>
      <c r="AW23" s="76">
        <f t="shared" si="9"/>
        <v>0</v>
      </c>
      <c r="AX23" s="77">
        <f t="shared" si="10"/>
        <v>0</v>
      </c>
      <c r="AY23" s="77"/>
      <c r="AZ23" s="77"/>
      <c r="BA23" s="77"/>
      <c r="BB23" s="74">
        <f t="shared" si="11"/>
        <v>0</v>
      </c>
      <c r="BC23" s="78">
        <f t="shared" si="12"/>
        <v>0</v>
      </c>
      <c r="BD23" s="79">
        <f t="shared" si="55"/>
        <v>54000000</v>
      </c>
      <c r="BE23" s="80">
        <f t="shared" si="56"/>
        <v>0</v>
      </c>
      <c r="BF23" s="81">
        <f t="shared" si="57"/>
        <v>0</v>
      </c>
      <c r="BG23" s="157">
        <f t="shared" si="58"/>
        <v>0</v>
      </c>
      <c r="BH23" s="148">
        <f t="shared" si="59"/>
        <v>0</v>
      </c>
      <c r="BI23" s="83">
        <f t="shared" si="60"/>
        <v>0</v>
      </c>
      <c r="BK23" s="159">
        <f t="shared" si="96"/>
        <v>0</v>
      </c>
      <c r="BL23" s="146">
        <f t="shared" si="62"/>
        <v>0</v>
      </c>
      <c r="BM23" s="145"/>
      <c r="BN23" s="160">
        <f t="shared" si="63"/>
        <v>0</v>
      </c>
      <c r="BP23" s="262">
        <f t="shared" si="2"/>
        <v>12</v>
      </c>
      <c r="BQ23" s="250">
        <f t="shared" si="21"/>
        <v>2024</v>
      </c>
      <c r="BR23" s="250">
        <f t="shared" si="3"/>
        <v>0</v>
      </c>
      <c r="BS23" s="250">
        <f t="shared" si="64"/>
        <v>0</v>
      </c>
      <c r="BT23" s="250">
        <f t="shared" si="65"/>
        <v>0</v>
      </c>
      <c r="BU23" s="250" t="s">
        <v>153</v>
      </c>
      <c r="BV23" s="263">
        <f t="shared" si="66"/>
        <v>0</v>
      </c>
      <c r="BW23" s="264">
        <f t="shared" si="67"/>
        <v>0</v>
      </c>
      <c r="BX23" s="250"/>
      <c r="BY23" s="247"/>
      <c r="BZ23" s="269"/>
      <c r="CA23" s="269"/>
      <c r="CB23" s="269"/>
      <c r="CC23" s="269"/>
      <c r="CD23" s="269"/>
      <c r="CE23" s="269"/>
      <c r="CF23" s="265">
        <f t="shared" si="68"/>
        <v>0</v>
      </c>
      <c r="CG23" s="266">
        <f t="shared" si="69"/>
        <v>0</v>
      </c>
      <c r="CH23" s="265">
        <f t="shared" si="70"/>
        <v>0</v>
      </c>
      <c r="CI23" s="266" t="str">
        <f t="shared" si="71"/>
        <v>Jawa Timur</v>
      </c>
      <c r="CJ23" s="265">
        <f t="shared" si="72"/>
        <v>0</v>
      </c>
      <c r="CK23" s="266" t="str">
        <f t="shared" si="73"/>
        <v>TK</v>
      </c>
      <c r="CL23" s="265">
        <f t="shared" si="74"/>
        <v>0</v>
      </c>
      <c r="CM23" s="265">
        <f t="shared" si="75"/>
        <v>0</v>
      </c>
      <c r="CN23" s="265" t="s">
        <v>189</v>
      </c>
      <c r="CO23" s="265"/>
      <c r="CP23" s="265" t="s">
        <v>210</v>
      </c>
      <c r="CQ23" s="267">
        <f t="shared" si="76"/>
        <v>0</v>
      </c>
      <c r="CR23" s="267">
        <f t="shared" si="77"/>
        <v>0</v>
      </c>
      <c r="CS23" s="267">
        <f t="shared" si="78"/>
        <v>0</v>
      </c>
      <c r="CT23" s="267">
        <f t="shared" si="79"/>
        <v>0</v>
      </c>
      <c r="CU23" s="267">
        <f t="shared" si="80"/>
        <v>0</v>
      </c>
      <c r="CV23" s="267">
        <f t="shared" si="81"/>
        <v>0</v>
      </c>
      <c r="CW23" s="267">
        <f t="shared" si="82"/>
        <v>0</v>
      </c>
      <c r="CX23" s="267">
        <f t="shared" si="83"/>
        <v>0</v>
      </c>
      <c r="CY23" s="267">
        <f t="shared" si="84"/>
        <v>0</v>
      </c>
      <c r="CZ23" s="267">
        <f t="shared" si="85"/>
        <v>0</v>
      </c>
      <c r="DA23" s="267">
        <f t="shared" si="86"/>
        <v>0</v>
      </c>
      <c r="DB23" s="267">
        <f t="shared" si="87"/>
        <v>0</v>
      </c>
      <c r="DC23" s="265">
        <v>15</v>
      </c>
      <c r="DD23" s="267">
        <f t="shared" si="88"/>
        <v>-15</v>
      </c>
      <c r="DE23" s="267">
        <f t="shared" si="89"/>
        <v>54000000</v>
      </c>
      <c r="DF23" s="267">
        <f t="shared" si="90"/>
        <v>0</v>
      </c>
      <c r="DG23" s="267">
        <f t="shared" si="91"/>
        <v>0</v>
      </c>
      <c r="DH23" s="265">
        <v>15</v>
      </c>
      <c r="DI23" s="267">
        <f t="shared" si="92"/>
        <v>0</v>
      </c>
      <c r="DJ23" s="267">
        <f t="shared" si="93"/>
        <v>0</v>
      </c>
      <c r="DK23" s="269"/>
      <c r="DL23" s="265">
        <f t="shared" ref="DL23:DM23" si="98">DL22</f>
        <v>0</v>
      </c>
      <c r="DM23" s="265">
        <f t="shared" si="98"/>
        <v>0</v>
      </c>
      <c r="DN23" s="269"/>
    </row>
    <row r="24" spans="1:118" ht="15" thickBot="1" x14ac:dyDescent="0.4">
      <c r="A24" s="68">
        <v>17</v>
      </c>
      <c r="B24" s="69"/>
      <c r="C24" s="73">
        <f>'Data Gaji'!C23</f>
        <v>0</v>
      </c>
      <c r="D24" s="54" t="s">
        <v>191</v>
      </c>
      <c r="E24" s="55">
        <v>0</v>
      </c>
      <c r="F24" s="279">
        <f>'Data Gaji'!E23</f>
        <v>0</v>
      </c>
      <c r="G24" s="56" t="str">
        <f t="shared" si="0"/>
        <v>N</v>
      </c>
      <c r="H24" s="277">
        <f>'Data Gaji'!G23</f>
        <v>0</v>
      </c>
      <c r="I24" s="58">
        <f>'Data Gaji'!H23</f>
        <v>0</v>
      </c>
      <c r="J24" s="54" t="s">
        <v>225</v>
      </c>
      <c r="K24" s="59">
        <f>'Data Gaji'!J23</f>
        <v>0</v>
      </c>
      <c r="L24" s="180">
        <f>'Jan-Nov'!K23</f>
        <v>0</v>
      </c>
      <c r="M24" s="182">
        <f>'Jan-Nov'!S23</f>
        <v>0</v>
      </c>
      <c r="N24" s="86">
        <f>'Jan-Nov'!U23</f>
        <v>0</v>
      </c>
      <c r="O24" s="87">
        <f>'Jan-Nov'!Z23</f>
        <v>0</v>
      </c>
      <c r="P24" s="87">
        <f>'Jan-Nov'!AB23</f>
        <v>0</v>
      </c>
      <c r="Q24" s="85">
        <f>'Jan-Nov'!AD23</f>
        <v>0</v>
      </c>
      <c r="R24" s="88">
        <f>'Jan-Nov'!AI23</f>
        <v>0</v>
      </c>
      <c r="S24" s="89">
        <f>'Jan-Nov'!AK23</f>
        <v>0</v>
      </c>
      <c r="T24" s="87">
        <f>'Jan-Nov'!AP23</f>
        <v>0</v>
      </c>
      <c r="U24" s="87">
        <f>'Jan-Nov'!AR23</f>
        <v>0</v>
      </c>
      <c r="V24" s="89">
        <f>'Jan-Nov'!AW23</f>
        <v>0</v>
      </c>
      <c r="W24" s="89">
        <f>'Jan-Nov'!AY23</f>
        <v>0</v>
      </c>
      <c r="X24" s="89">
        <f>'Jan-Nov'!BD23</f>
        <v>0</v>
      </c>
      <c r="Y24" s="89">
        <f>'Jan-Nov'!BF23</f>
        <v>0</v>
      </c>
      <c r="Z24" s="86">
        <f>'Jan-Nov'!BK23</f>
        <v>0</v>
      </c>
      <c r="AA24" s="86">
        <f>'Jan-Nov'!BM23</f>
        <v>0</v>
      </c>
      <c r="AB24" s="87">
        <f>'Jan-Nov'!BR23</f>
        <v>0</v>
      </c>
      <c r="AC24" s="87">
        <f>'Jan-Nov'!BT23</f>
        <v>0</v>
      </c>
      <c r="AD24" s="85">
        <f>'Jan-Nov'!BY23</f>
        <v>0</v>
      </c>
      <c r="AE24" s="88">
        <f>'Jan-Nov'!CA23</f>
        <v>0</v>
      </c>
      <c r="AF24" s="89">
        <f>'Jan-Nov'!CF23</f>
        <v>0</v>
      </c>
      <c r="AG24" s="87">
        <f>'Jan-Nov'!CH23</f>
        <v>0</v>
      </c>
      <c r="AH24" s="85">
        <f>'Jan-Nov'!CM23</f>
        <v>0</v>
      </c>
      <c r="AI24" s="126">
        <f t="shared" si="4"/>
        <v>0</v>
      </c>
      <c r="AJ24" s="90">
        <f t="shared" si="5"/>
        <v>0</v>
      </c>
      <c r="AK24" s="123"/>
      <c r="AL24" s="126">
        <f>'Data Gaji'!LG23</f>
        <v>0</v>
      </c>
      <c r="AM24" s="128">
        <f>'Jan-Nov'!CQ23</f>
        <v>0</v>
      </c>
      <c r="AN24" s="125">
        <f t="shared" si="95"/>
        <v>0</v>
      </c>
      <c r="AO24" s="77">
        <f t="shared" si="6"/>
        <v>0</v>
      </c>
      <c r="AP24" s="77">
        <f>'Data Gaji'!LO23</f>
        <v>0</v>
      </c>
      <c r="AQ24" s="77">
        <f>'Data Gaji'!LF23*12</f>
        <v>0</v>
      </c>
      <c r="AR24" s="77"/>
      <c r="AS24" s="77"/>
      <c r="AT24" s="75">
        <f t="shared" si="7"/>
        <v>0</v>
      </c>
      <c r="AU24" s="82"/>
      <c r="AV24" s="84">
        <f t="shared" si="8"/>
        <v>0</v>
      </c>
      <c r="AW24" s="76">
        <f t="shared" si="9"/>
        <v>0</v>
      </c>
      <c r="AX24" s="77">
        <f t="shared" si="10"/>
        <v>0</v>
      </c>
      <c r="AY24" s="77"/>
      <c r="AZ24" s="77"/>
      <c r="BA24" s="77"/>
      <c r="BB24" s="74">
        <f t="shared" si="11"/>
        <v>0</v>
      </c>
      <c r="BC24" s="78">
        <f t="shared" si="12"/>
        <v>0</v>
      </c>
      <c r="BD24" s="79">
        <f t="shared" si="55"/>
        <v>54000000</v>
      </c>
      <c r="BE24" s="80">
        <f t="shared" si="56"/>
        <v>0</v>
      </c>
      <c r="BF24" s="81">
        <f t="shared" si="57"/>
        <v>0</v>
      </c>
      <c r="BG24" s="157">
        <f t="shared" si="58"/>
        <v>0</v>
      </c>
      <c r="BH24" s="148">
        <f t="shared" si="59"/>
        <v>0</v>
      </c>
      <c r="BI24" s="83">
        <f t="shared" si="60"/>
        <v>0</v>
      </c>
      <c r="BK24" s="159">
        <f t="shared" si="96"/>
        <v>0</v>
      </c>
      <c r="BL24" s="146">
        <f t="shared" si="62"/>
        <v>0</v>
      </c>
      <c r="BM24" s="145"/>
      <c r="BN24" s="160">
        <f t="shared" si="63"/>
        <v>0</v>
      </c>
      <c r="BP24" s="262">
        <f t="shared" si="2"/>
        <v>12</v>
      </c>
      <c r="BQ24" s="250">
        <f t="shared" si="21"/>
        <v>2024</v>
      </c>
      <c r="BR24" s="250">
        <f t="shared" si="3"/>
        <v>0</v>
      </c>
      <c r="BS24" s="250">
        <f t="shared" si="64"/>
        <v>0</v>
      </c>
      <c r="BT24" s="250">
        <f t="shared" si="65"/>
        <v>0</v>
      </c>
      <c r="BU24" s="250" t="s">
        <v>154</v>
      </c>
      <c r="BV24" s="263">
        <f t="shared" si="66"/>
        <v>0</v>
      </c>
      <c r="BW24" s="264">
        <f t="shared" si="67"/>
        <v>0</v>
      </c>
      <c r="BX24" s="250"/>
      <c r="BY24" s="247"/>
      <c r="BZ24" s="269"/>
      <c r="CA24" s="269"/>
      <c r="CB24" s="269"/>
      <c r="CC24" s="269"/>
      <c r="CD24" s="269"/>
      <c r="CE24" s="269"/>
      <c r="CF24" s="265">
        <f t="shared" si="68"/>
        <v>0</v>
      </c>
      <c r="CG24" s="266">
        <f t="shared" si="69"/>
        <v>0</v>
      </c>
      <c r="CH24" s="265">
        <f t="shared" si="70"/>
        <v>0</v>
      </c>
      <c r="CI24" s="266" t="str">
        <f t="shared" si="71"/>
        <v>Balikpapan</v>
      </c>
      <c r="CJ24" s="265">
        <f t="shared" si="72"/>
        <v>0</v>
      </c>
      <c r="CK24" s="266" t="str">
        <f t="shared" si="73"/>
        <v>TK</v>
      </c>
      <c r="CL24" s="265">
        <f t="shared" si="74"/>
        <v>0</v>
      </c>
      <c r="CM24" s="265">
        <f t="shared" si="75"/>
        <v>0</v>
      </c>
      <c r="CN24" s="265" t="s">
        <v>189</v>
      </c>
      <c r="CO24" s="265"/>
      <c r="CP24" s="265" t="s">
        <v>211</v>
      </c>
      <c r="CQ24" s="267">
        <f t="shared" si="76"/>
        <v>0</v>
      </c>
      <c r="CR24" s="267">
        <f t="shared" si="77"/>
        <v>0</v>
      </c>
      <c r="CS24" s="267">
        <f t="shared" si="78"/>
        <v>0</v>
      </c>
      <c r="CT24" s="267">
        <f t="shared" si="79"/>
        <v>0</v>
      </c>
      <c r="CU24" s="267">
        <f t="shared" si="80"/>
        <v>0</v>
      </c>
      <c r="CV24" s="267">
        <f t="shared" si="81"/>
        <v>0</v>
      </c>
      <c r="CW24" s="267">
        <f t="shared" si="82"/>
        <v>0</v>
      </c>
      <c r="CX24" s="267">
        <f t="shared" si="83"/>
        <v>0</v>
      </c>
      <c r="CY24" s="267">
        <f t="shared" si="84"/>
        <v>0</v>
      </c>
      <c r="CZ24" s="267">
        <f t="shared" si="85"/>
        <v>0</v>
      </c>
      <c r="DA24" s="267">
        <f t="shared" si="86"/>
        <v>0</v>
      </c>
      <c r="DB24" s="267">
        <f t="shared" si="87"/>
        <v>0</v>
      </c>
      <c r="DC24" s="265">
        <v>16</v>
      </c>
      <c r="DD24" s="267">
        <f t="shared" si="88"/>
        <v>-16</v>
      </c>
      <c r="DE24" s="267">
        <f t="shared" si="89"/>
        <v>54000000</v>
      </c>
      <c r="DF24" s="267">
        <f t="shared" si="90"/>
        <v>0</v>
      </c>
      <c r="DG24" s="267">
        <f t="shared" si="91"/>
        <v>0</v>
      </c>
      <c r="DH24" s="265">
        <v>16</v>
      </c>
      <c r="DI24" s="267">
        <f t="shared" si="92"/>
        <v>0</v>
      </c>
      <c r="DJ24" s="267">
        <f t="shared" si="93"/>
        <v>0</v>
      </c>
      <c r="DK24" s="269"/>
      <c r="DL24" s="265">
        <f t="shared" ref="DL24:DM24" si="99">DL23</f>
        <v>0</v>
      </c>
      <c r="DM24" s="265">
        <f t="shared" si="99"/>
        <v>0</v>
      </c>
      <c r="DN24" s="269"/>
    </row>
    <row r="25" spans="1:118" hidden="1" x14ac:dyDescent="0.35">
      <c r="A25" s="68">
        <v>18</v>
      </c>
      <c r="B25" s="69"/>
      <c r="C25" s="70"/>
      <c r="D25" s="70"/>
      <c r="E25" s="71"/>
      <c r="F25" s="279"/>
      <c r="G25" s="56" t="str">
        <f t="shared" si="0"/>
        <v>N</v>
      </c>
      <c r="H25" s="277"/>
      <c r="I25" s="58"/>
      <c r="J25" s="54"/>
      <c r="K25" s="59"/>
      <c r="L25" s="180"/>
      <c r="M25" s="182">
        <f>'Jan-Nov'!S24</f>
        <v>0</v>
      </c>
      <c r="N25" s="86">
        <f>'Jan-Nov'!U24</f>
        <v>0</v>
      </c>
      <c r="O25" s="87">
        <f>'Jan-Nov'!Z24</f>
        <v>0</v>
      </c>
      <c r="P25" s="87">
        <f>'Jan-Nov'!AB24</f>
        <v>0</v>
      </c>
      <c r="Q25" s="85">
        <f>'Jan-Nov'!AD24</f>
        <v>0</v>
      </c>
      <c r="R25" s="88">
        <f>'Jan-Nov'!AI24</f>
        <v>0</v>
      </c>
      <c r="S25" s="89">
        <f>'Jan-Nov'!AK24</f>
        <v>0</v>
      </c>
      <c r="T25" s="87">
        <f>'Jan-Nov'!AP24</f>
        <v>0</v>
      </c>
      <c r="U25" s="87">
        <f>'Jan-Nov'!AR24</f>
        <v>0</v>
      </c>
      <c r="V25" s="89">
        <f>'Jan-Nov'!AW24</f>
        <v>0</v>
      </c>
      <c r="W25" s="89">
        <f>'Jan-Nov'!AY24</f>
        <v>0</v>
      </c>
      <c r="X25" s="89">
        <f>'Jan-Nov'!BD24</f>
        <v>0</v>
      </c>
      <c r="Y25" s="89"/>
      <c r="Z25" s="86"/>
      <c r="AA25" s="86">
        <f>'Jan-Nov'!BM24</f>
        <v>0</v>
      </c>
      <c r="AB25" s="87">
        <f>'Jan-Nov'!BR24</f>
        <v>0</v>
      </c>
      <c r="AC25" s="87">
        <f>'Jan-Nov'!BT24</f>
        <v>0</v>
      </c>
      <c r="AD25" s="85">
        <f>'Jan-Nov'!BY24</f>
        <v>0</v>
      </c>
      <c r="AE25" s="88">
        <f>'Jan-Nov'!CA24</f>
        <v>0</v>
      </c>
      <c r="AF25" s="89">
        <f>'Jan-Nov'!CF24</f>
        <v>0</v>
      </c>
      <c r="AG25" s="87">
        <f>'Jan-Nov'!CH24</f>
        <v>0</v>
      </c>
      <c r="AH25" s="85">
        <f>'Jan-Nov'!CM24</f>
        <v>0</v>
      </c>
      <c r="AI25" s="126">
        <f t="shared" ref="AI25" si="100">M25+O25+Q25+S25+U25+W25+Y25+AA25+AC25+AE25+AG25</f>
        <v>0</v>
      </c>
      <c r="AJ25" s="90">
        <f t="shared" ref="AJ25" si="101">N25+P25+R25+T25+V25+X25+Z25+AB25+AD25+AF25+AH25</f>
        <v>0</v>
      </c>
      <c r="AK25" s="123"/>
      <c r="AL25" s="126">
        <f>'Data Gaji'!LG24</f>
        <v>0</v>
      </c>
      <c r="AM25" s="128">
        <f>'Jan-Nov'!CQ24</f>
        <v>0</v>
      </c>
      <c r="AN25" s="125">
        <f t="shared" ref="AN25" si="102">AL25*12</f>
        <v>0</v>
      </c>
      <c r="AO25" s="77">
        <f t="shared" ref="AO25" si="103">BM25</f>
        <v>0</v>
      </c>
      <c r="AP25" s="77">
        <f>'Data Gaji'!LO24</f>
        <v>0</v>
      </c>
      <c r="AQ25" s="77">
        <f>'Data Gaji'!LF24*12</f>
        <v>0</v>
      </c>
      <c r="AR25" s="77"/>
      <c r="AS25" s="77"/>
      <c r="AT25" s="75">
        <f t="shared" ref="AT25" si="104">SUM(AN25:AS25)</f>
        <v>0</v>
      </c>
      <c r="AU25" s="82"/>
      <c r="AV25" s="84">
        <f t="shared" ref="AV25" si="105">AT25+AU25</f>
        <v>0</v>
      </c>
      <c r="AW25" s="76">
        <f t="shared" ref="AW25" si="106">IF(AT25*5%&gt;6000000,6000000,AT25*5%)</f>
        <v>0</v>
      </c>
      <c r="AX25" s="77">
        <f t="shared" ref="AX25" si="107">IF((AW25+AU25*5%)&gt;=6000000,0,AU25*5%)</f>
        <v>0</v>
      </c>
      <c r="AY25" s="77">
        <f t="shared" ref="AY25" si="108">1%*AN25</f>
        <v>0</v>
      </c>
      <c r="AZ25" s="77">
        <f t="shared" ref="AZ25" si="109">2%*AN25</f>
        <v>0</v>
      </c>
      <c r="BA25" s="77">
        <f t="shared" ref="BA25" si="110">SUM(AY25:AZ25)</f>
        <v>0</v>
      </c>
      <c r="BB25" s="74">
        <f t="shared" ref="BB25" si="111">AW25+AX25+BA25</f>
        <v>0</v>
      </c>
      <c r="BC25" s="78">
        <f t="shared" ref="BC25" si="112">AV25-BB25</f>
        <v>0</v>
      </c>
      <c r="BD25" s="79">
        <f t="shared" si="55"/>
        <v>54000000</v>
      </c>
      <c r="BE25" s="80">
        <f t="shared" si="56"/>
        <v>0</v>
      </c>
      <c r="BF25" s="81">
        <f t="shared" si="57"/>
        <v>0</v>
      </c>
      <c r="BG25" s="157">
        <f t="shared" si="58"/>
        <v>0</v>
      </c>
      <c r="BH25" s="148">
        <f t="shared" si="59"/>
        <v>0</v>
      </c>
      <c r="BI25" s="83">
        <f t="shared" si="60"/>
        <v>0</v>
      </c>
      <c r="BK25" s="159">
        <f t="shared" si="96"/>
        <v>0</v>
      </c>
      <c r="BL25" s="146">
        <f t="shared" si="62"/>
        <v>0</v>
      </c>
      <c r="BM25" s="145"/>
      <c r="BN25" s="160">
        <f t="shared" si="63"/>
        <v>0</v>
      </c>
      <c r="BP25" s="262">
        <f t="shared" si="2"/>
        <v>12</v>
      </c>
      <c r="BQ25" s="250">
        <f t="shared" si="21"/>
        <v>2024</v>
      </c>
      <c r="BR25" s="250">
        <f t="shared" si="3"/>
        <v>0</v>
      </c>
      <c r="BS25" s="250">
        <f t="shared" si="64"/>
        <v>0</v>
      </c>
      <c r="BT25" s="250">
        <f t="shared" si="65"/>
        <v>0</v>
      </c>
      <c r="BU25" s="250" t="s">
        <v>155</v>
      </c>
      <c r="BV25" s="263">
        <f t="shared" si="66"/>
        <v>0</v>
      </c>
      <c r="BW25" s="264">
        <f t="shared" si="67"/>
        <v>0</v>
      </c>
      <c r="BX25" s="250"/>
      <c r="BY25" s="247"/>
      <c r="BZ25" s="269"/>
      <c r="CA25" s="269"/>
      <c r="CB25" s="269"/>
      <c r="CC25" s="269"/>
      <c r="CD25" s="269"/>
      <c r="CE25" s="269"/>
      <c r="CF25" s="265">
        <f t="shared" si="68"/>
        <v>0</v>
      </c>
      <c r="CG25" s="266">
        <f t="shared" si="69"/>
        <v>0</v>
      </c>
      <c r="CH25" s="265">
        <f t="shared" si="70"/>
        <v>0</v>
      </c>
      <c r="CI25" s="266">
        <f t="shared" si="71"/>
        <v>0</v>
      </c>
      <c r="CJ25" s="265">
        <f t="shared" si="72"/>
        <v>0</v>
      </c>
      <c r="CK25" s="266">
        <f t="shared" si="73"/>
        <v>0</v>
      </c>
      <c r="CL25" s="265">
        <f t="shared" si="74"/>
        <v>0</v>
      </c>
      <c r="CM25" s="265">
        <f t="shared" si="75"/>
        <v>0</v>
      </c>
      <c r="CN25" s="265" t="s">
        <v>189</v>
      </c>
      <c r="CO25" s="265"/>
      <c r="CP25" s="265" t="s">
        <v>212</v>
      </c>
      <c r="CQ25" s="267">
        <f t="shared" si="76"/>
        <v>0</v>
      </c>
      <c r="CR25" s="267">
        <f t="shared" si="77"/>
        <v>0</v>
      </c>
      <c r="CS25" s="267">
        <f t="shared" si="78"/>
        <v>0</v>
      </c>
      <c r="CT25" s="267">
        <f t="shared" si="79"/>
        <v>0</v>
      </c>
      <c r="CU25" s="267">
        <f t="shared" si="80"/>
        <v>0</v>
      </c>
      <c r="CV25" s="267">
        <f t="shared" si="81"/>
        <v>0</v>
      </c>
      <c r="CW25" s="267">
        <f t="shared" si="82"/>
        <v>0</v>
      </c>
      <c r="CX25" s="267">
        <f t="shared" si="83"/>
        <v>0</v>
      </c>
      <c r="CY25" s="267">
        <f t="shared" si="84"/>
        <v>0</v>
      </c>
      <c r="CZ25" s="267">
        <f t="shared" si="85"/>
        <v>0</v>
      </c>
      <c r="DA25" s="267">
        <f t="shared" si="86"/>
        <v>0</v>
      </c>
      <c r="DB25" s="267">
        <f t="shared" si="87"/>
        <v>0</v>
      </c>
      <c r="DC25" s="265">
        <v>17</v>
      </c>
      <c r="DD25" s="267">
        <f t="shared" si="88"/>
        <v>-17</v>
      </c>
      <c r="DE25" s="267">
        <f t="shared" si="89"/>
        <v>54000000</v>
      </c>
      <c r="DF25" s="267">
        <f t="shared" si="90"/>
        <v>0</v>
      </c>
      <c r="DG25" s="267">
        <f t="shared" si="91"/>
        <v>0</v>
      </c>
      <c r="DH25" s="265">
        <v>17</v>
      </c>
      <c r="DI25" s="267">
        <f t="shared" si="92"/>
        <v>0</v>
      </c>
      <c r="DJ25" s="267">
        <f t="shared" si="93"/>
        <v>0</v>
      </c>
      <c r="DK25" s="269"/>
      <c r="DL25" s="265">
        <f t="shared" ref="DL25:DM25" si="113">DL24</f>
        <v>0</v>
      </c>
      <c r="DM25" s="265">
        <f t="shared" si="113"/>
        <v>0</v>
      </c>
      <c r="DN25" s="269"/>
    </row>
    <row r="26" spans="1:118" s="144" customFormat="1" hidden="1" x14ac:dyDescent="0.35">
      <c r="A26" s="68">
        <v>19</v>
      </c>
      <c r="B26" s="130"/>
      <c r="C26" s="131"/>
      <c r="D26" s="131"/>
      <c r="E26" s="132"/>
      <c r="F26" s="279"/>
      <c r="G26" s="56" t="str">
        <f t="shared" si="0"/>
        <v>N</v>
      </c>
      <c r="H26" s="277"/>
      <c r="I26" s="133"/>
      <c r="J26" s="134"/>
      <c r="K26" s="135"/>
      <c r="L26" s="181"/>
      <c r="M26" s="182">
        <f>'Jan-Nov'!S25</f>
        <v>0</v>
      </c>
      <c r="N26" s="86">
        <f>'Jan-Nov'!U25</f>
        <v>0</v>
      </c>
      <c r="O26" s="137">
        <f>'Jan-Nov'!Z24</f>
        <v>0</v>
      </c>
      <c r="P26" s="87">
        <f>'Jan-Nov'!AB24</f>
        <v>0</v>
      </c>
      <c r="Q26" s="138">
        <f>'Jan-Nov'!AD24</f>
        <v>0</v>
      </c>
      <c r="R26" s="139">
        <f>'Jan-Nov'!AI24</f>
        <v>0</v>
      </c>
      <c r="S26" s="139">
        <f>'Jan-Nov'!AK24</f>
        <v>0</v>
      </c>
      <c r="T26" s="137">
        <f>'Jan-Nov'!AP24</f>
        <v>0</v>
      </c>
      <c r="U26" s="137">
        <f>'Jan-Nov'!AR24</f>
        <v>0</v>
      </c>
      <c r="V26" s="139">
        <f>'Jan-Nov'!AW24</f>
        <v>0</v>
      </c>
      <c r="W26" s="139">
        <f>'Jan-Nov'!AY24</f>
        <v>0</v>
      </c>
      <c r="X26" s="139">
        <f>'Jan-Nov'!BD24</f>
        <v>0</v>
      </c>
      <c r="Y26" s="139">
        <f>'Jan-Nov'!BF24</f>
        <v>0</v>
      </c>
      <c r="Z26" s="136">
        <f>'Jan-Nov'!BK24</f>
        <v>0</v>
      </c>
      <c r="AA26" s="136">
        <f>'Jan-Nov'!BM24</f>
        <v>0</v>
      </c>
      <c r="AB26" s="137">
        <f>'Jan-Nov'!BR24</f>
        <v>0</v>
      </c>
      <c r="AC26" s="137">
        <f>'Jan-Nov'!BT24</f>
        <v>0</v>
      </c>
      <c r="AD26" s="138">
        <f>'Jan-Nov'!BY24</f>
        <v>0</v>
      </c>
      <c r="AE26" s="139">
        <f>'Jan-Nov'!CA24</f>
        <v>0</v>
      </c>
      <c r="AF26" s="139">
        <f>'Jan-Nov'!CF24</f>
        <v>0</v>
      </c>
      <c r="AG26" s="137">
        <f>'Jan-Nov'!CH24</f>
        <v>0</v>
      </c>
      <c r="AH26" s="138">
        <f>'Jan-Nov'!CM24</f>
        <v>0</v>
      </c>
      <c r="AI26" s="203">
        <f t="shared" ref="AI26:AI38" si="114">M26+O26+Q26+S26+U26+W26+Y26+AA26+AC26+AE26+AG26</f>
        <v>0</v>
      </c>
      <c r="AJ26" s="140">
        <f>N26+P26+R26+T26+V26+X26+Z26+AB26+AD26+AF26+AH26</f>
        <v>0</v>
      </c>
      <c r="AK26" s="141"/>
      <c r="AL26" s="126">
        <f>'Data Gaji'!LG24</f>
        <v>0</v>
      </c>
      <c r="AM26" s="128">
        <f>'Jan-Nov'!CQ24</f>
        <v>0</v>
      </c>
      <c r="AN26" s="125">
        <f t="shared" ref="AN26:AN38" si="115">AL26*12</f>
        <v>0</v>
      </c>
      <c r="AO26" s="77">
        <f t="shared" ref="AO26:AO38" si="116">BM26</f>
        <v>0</v>
      </c>
      <c r="AP26" s="77">
        <f>'Data Gaji'!LO24</f>
        <v>0</v>
      </c>
      <c r="AQ26" s="77">
        <f>'Data Gaji'!LF24*12</f>
        <v>0</v>
      </c>
      <c r="AR26" s="142"/>
      <c r="AS26" s="142"/>
      <c r="AT26" s="75">
        <f t="shared" ref="AT26:AT38" si="117">SUM(AN26:AS26)</f>
        <v>0</v>
      </c>
      <c r="AU26" s="143"/>
      <c r="AV26" s="84">
        <f t="shared" ref="AV26:AV38" si="118">AT26+AU26</f>
        <v>0</v>
      </c>
      <c r="AW26" s="76">
        <f t="shared" ref="AW26:AW38" si="119">IF(AT26*5%&gt;6000000,6000000,AT26*5%)</f>
        <v>0</v>
      </c>
      <c r="AX26" s="77">
        <f t="shared" ref="AX26:AX38" si="120">IF((AW26+AU26*5%)&gt;=6000000,0,AU26*5%)</f>
        <v>0</v>
      </c>
      <c r="AY26" s="77">
        <f t="shared" ref="AY26:AY38" si="121">1%*AN26</f>
        <v>0</v>
      </c>
      <c r="AZ26" s="77">
        <f t="shared" ref="AZ26:AZ38" si="122">2%*AN26</f>
        <v>0</v>
      </c>
      <c r="BA26" s="77">
        <f t="shared" ref="BA26:BA38" si="123">SUM(AY26:AZ26)</f>
        <v>0</v>
      </c>
      <c r="BB26" s="74">
        <f t="shared" ref="BB26:BB38" si="124">AW26+AX26+BA26</f>
        <v>0</v>
      </c>
      <c r="BC26" s="78">
        <f t="shared" ref="BC26:BC38" si="125">AV26-BB26</f>
        <v>0</v>
      </c>
      <c r="BD26" s="79">
        <f t="shared" si="1"/>
        <v>54000000</v>
      </c>
      <c r="BE26" s="80">
        <f t="shared" si="13"/>
        <v>0</v>
      </c>
      <c r="BF26" s="81">
        <f t="shared" si="14"/>
        <v>0</v>
      </c>
      <c r="BG26" s="157">
        <f t="shared" si="15"/>
        <v>0</v>
      </c>
      <c r="BH26" s="148">
        <f t="shared" si="16"/>
        <v>0</v>
      </c>
      <c r="BI26" s="83">
        <f t="shared" si="17"/>
        <v>0</v>
      </c>
      <c r="BK26" s="159">
        <f t="shared" si="18"/>
        <v>0</v>
      </c>
      <c r="BL26" s="146">
        <f t="shared" si="19"/>
        <v>0</v>
      </c>
      <c r="BM26" s="145"/>
      <c r="BN26" s="160">
        <f t="shared" si="20"/>
        <v>0</v>
      </c>
      <c r="BP26" s="262">
        <f t="shared" si="2"/>
        <v>12</v>
      </c>
      <c r="BQ26" s="250">
        <f t="shared" si="21"/>
        <v>2024</v>
      </c>
      <c r="BR26" s="250">
        <f t="shared" si="3"/>
        <v>0</v>
      </c>
      <c r="BS26" s="250">
        <f t="shared" si="22"/>
        <v>0</v>
      </c>
      <c r="BT26" s="250">
        <f t="shared" si="23"/>
        <v>0</v>
      </c>
      <c r="BU26" s="250" t="s">
        <v>150</v>
      </c>
      <c r="BV26" s="263">
        <f t="shared" si="24"/>
        <v>0</v>
      </c>
      <c r="BW26" s="264">
        <f t="shared" si="25"/>
        <v>0</v>
      </c>
      <c r="BX26" s="250"/>
      <c r="BY26" s="270"/>
      <c r="BZ26" s="271"/>
      <c r="CA26" s="271"/>
      <c r="CB26" s="271"/>
      <c r="CC26" s="271"/>
      <c r="CD26" s="271"/>
      <c r="CE26" s="271"/>
      <c r="CF26" s="265">
        <f t="shared" si="26"/>
        <v>0</v>
      </c>
      <c r="CG26" s="266">
        <f t="shared" si="54"/>
        <v>0</v>
      </c>
      <c r="CH26" s="265">
        <f t="shared" si="27"/>
        <v>0</v>
      </c>
      <c r="CI26" s="266">
        <f t="shared" si="28"/>
        <v>0</v>
      </c>
      <c r="CJ26" s="265">
        <f t="shared" si="29"/>
        <v>0</v>
      </c>
      <c r="CK26" s="266">
        <f t="shared" si="30"/>
        <v>0</v>
      </c>
      <c r="CL26" s="265">
        <f t="shared" si="31"/>
        <v>0</v>
      </c>
      <c r="CM26" s="265">
        <f t="shared" si="32"/>
        <v>0</v>
      </c>
      <c r="CN26" s="265" t="s">
        <v>189</v>
      </c>
      <c r="CO26" s="265"/>
      <c r="CP26" s="265" t="s">
        <v>207</v>
      </c>
      <c r="CQ26" s="267">
        <f t="shared" si="33"/>
        <v>0</v>
      </c>
      <c r="CR26" s="267">
        <f t="shared" si="34"/>
        <v>0</v>
      </c>
      <c r="CS26" s="267">
        <f t="shared" si="35"/>
        <v>0</v>
      </c>
      <c r="CT26" s="267">
        <f t="shared" si="36"/>
        <v>0</v>
      </c>
      <c r="CU26" s="267">
        <f t="shared" si="37"/>
        <v>0</v>
      </c>
      <c r="CV26" s="267">
        <f t="shared" si="38"/>
        <v>0</v>
      </c>
      <c r="CW26" s="267">
        <f t="shared" si="39"/>
        <v>0</v>
      </c>
      <c r="CX26" s="267">
        <f t="shared" si="40"/>
        <v>0</v>
      </c>
      <c r="CY26" s="267">
        <f t="shared" si="41"/>
        <v>0</v>
      </c>
      <c r="CZ26" s="267">
        <f t="shared" si="42"/>
        <v>0</v>
      </c>
      <c r="DA26" s="267">
        <f t="shared" si="43"/>
        <v>0</v>
      </c>
      <c r="DB26" s="267">
        <f t="shared" si="44"/>
        <v>0</v>
      </c>
      <c r="DC26" s="265">
        <v>12</v>
      </c>
      <c r="DD26" s="267">
        <f t="shared" si="45"/>
        <v>-12</v>
      </c>
      <c r="DE26" s="267">
        <f t="shared" si="46"/>
        <v>54000000</v>
      </c>
      <c r="DF26" s="267">
        <f t="shared" si="47"/>
        <v>0</v>
      </c>
      <c r="DG26" s="267">
        <f t="shared" si="48"/>
        <v>0</v>
      </c>
      <c r="DH26" s="265">
        <v>12</v>
      </c>
      <c r="DI26" s="267">
        <f t="shared" si="49"/>
        <v>0</v>
      </c>
      <c r="DJ26" s="267">
        <f t="shared" si="50"/>
        <v>0</v>
      </c>
      <c r="DK26" s="271"/>
      <c r="DL26" s="265">
        <f>DL19</f>
        <v>0</v>
      </c>
      <c r="DM26" s="265">
        <f>DM19</f>
        <v>0</v>
      </c>
      <c r="DN26" s="271"/>
    </row>
    <row r="27" spans="1:118" hidden="1" x14ac:dyDescent="0.35">
      <c r="A27" s="68">
        <v>20</v>
      </c>
      <c r="B27" s="69"/>
      <c r="C27" s="70"/>
      <c r="D27" s="70"/>
      <c r="E27" s="71"/>
      <c r="F27" s="279"/>
      <c r="G27" s="56" t="str">
        <f t="shared" si="0"/>
        <v>N</v>
      </c>
      <c r="H27" s="277"/>
      <c r="I27" s="58"/>
      <c r="J27" s="54"/>
      <c r="K27" s="59"/>
      <c r="L27" s="180"/>
      <c r="M27" s="182">
        <f>'Jan-Nov'!S26</f>
        <v>0</v>
      </c>
      <c r="N27" s="86">
        <f>'Jan-Nov'!U26</f>
        <v>0</v>
      </c>
      <c r="O27" s="87">
        <f>'Jan-Nov'!Z25</f>
        <v>0</v>
      </c>
      <c r="P27" s="87">
        <f>'Jan-Nov'!AB25</f>
        <v>0</v>
      </c>
      <c r="Q27" s="85">
        <f>'Jan-Nov'!AD25</f>
        <v>0</v>
      </c>
      <c r="R27" s="88">
        <f>'Jan-Nov'!AI25</f>
        <v>0</v>
      </c>
      <c r="S27" s="89">
        <f>'Jan-Nov'!AK25</f>
        <v>0</v>
      </c>
      <c r="T27" s="87">
        <f>'Jan-Nov'!AP25</f>
        <v>0</v>
      </c>
      <c r="U27" s="87">
        <f>'Jan-Nov'!AR25</f>
        <v>0</v>
      </c>
      <c r="V27" s="89">
        <f>'Jan-Nov'!AW25</f>
        <v>0</v>
      </c>
      <c r="W27" s="89">
        <f>'Jan-Nov'!AY25</f>
        <v>0</v>
      </c>
      <c r="X27" s="89">
        <f>'Jan-Nov'!BD25</f>
        <v>0</v>
      </c>
      <c r="Y27" s="89">
        <f>'Jan-Nov'!BF25</f>
        <v>0</v>
      </c>
      <c r="Z27" s="86">
        <f>'Jan-Nov'!BK25</f>
        <v>0</v>
      </c>
      <c r="AA27" s="86">
        <f>'Jan-Nov'!BM25</f>
        <v>0</v>
      </c>
      <c r="AB27" s="87">
        <f>'Jan-Nov'!BR25</f>
        <v>0</v>
      </c>
      <c r="AC27" s="87">
        <f>'Jan-Nov'!BT25</f>
        <v>0</v>
      </c>
      <c r="AD27" s="85">
        <f>'Jan-Nov'!BY25</f>
        <v>0</v>
      </c>
      <c r="AE27" s="88">
        <f>'Jan-Nov'!CA25</f>
        <v>0</v>
      </c>
      <c r="AF27" s="89">
        <f>'Jan-Nov'!CF25</f>
        <v>0</v>
      </c>
      <c r="AG27" s="87">
        <f>'Jan-Nov'!CH25</f>
        <v>0</v>
      </c>
      <c r="AH27" s="85">
        <f>'Jan-Nov'!CM25</f>
        <v>0</v>
      </c>
      <c r="AI27" s="126">
        <f t="shared" ref="AI27:AI32" si="126">M27+O27+Q27+S27+U27+W27+Y27+AA27+AC27+AE27+AG27</f>
        <v>0</v>
      </c>
      <c r="AJ27" s="90">
        <f t="shared" ref="AJ27:AJ32" si="127">N27+P27+R27+T27+V27+X27+Z27+AB27+AD27+AF27+AH27</f>
        <v>0</v>
      </c>
      <c r="AK27" s="123"/>
      <c r="AL27" s="126">
        <f>'Data Gaji'!LG25</f>
        <v>0</v>
      </c>
      <c r="AM27" s="128">
        <f>'Jan-Nov'!CQ25</f>
        <v>0</v>
      </c>
      <c r="AN27" s="125">
        <f t="shared" ref="AN27:AN32" si="128">AL27*12</f>
        <v>0</v>
      </c>
      <c r="AO27" s="77">
        <f t="shared" ref="AO27:AO32" si="129">BM27</f>
        <v>0</v>
      </c>
      <c r="AP27" s="77">
        <f>'Data Gaji'!LO25</f>
        <v>0</v>
      </c>
      <c r="AQ27" s="77">
        <f>'Data Gaji'!LF25*12</f>
        <v>0</v>
      </c>
      <c r="AR27" s="77"/>
      <c r="AS27" s="77"/>
      <c r="AT27" s="75">
        <f t="shared" ref="AT27:AT30" si="130">SUM(AN27:AS27)</f>
        <v>0</v>
      </c>
      <c r="AU27" s="82"/>
      <c r="AV27" s="84">
        <f t="shared" ref="AV27:AV32" si="131">AT27+AU27</f>
        <v>0</v>
      </c>
      <c r="AW27" s="76">
        <f t="shared" ref="AW27:AW32" si="132">IF(AT27*5%&gt;6000000,6000000,AT27*5%)</f>
        <v>0</v>
      </c>
      <c r="AX27" s="77">
        <f t="shared" ref="AX27:AX32" si="133">IF((AW27+AU27*5%)&gt;=6000000,0,AU27*5%)</f>
        <v>0</v>
      </c>
      <c r="AY27" s="77">
        <f t="shared" ref="AY27:AY32" si="134">1%*AN27</f>
        <v>0</v>
      </c>
      <c r="AZ27" s="77">
        <f t="shared" ref="AZ27:AZ32" si="135">2%*AN27</f>
        <v>0</v>
      </c>
      <c r="BA27" s="77">
        <f t="shared" ref="BA27:BA32" si="136">SUM(AY27:AZ27)</f>
        <v>0</v>
      </c>
      <c r="BB27" s="74">
        <f t="shared" ref="BB27:BB32" si="137">AW27+AX27+BA27</f>
        <v>0</v>
      </c>
      <c r="BC27" s="78">
        <f t="shared" ref="BC27:BC32" si="138">AV27-BB27</f>
        <v>0</v>
      </c>
      <c r="BD27" s="79">
        <f t="shared" ref="BD27:BD32" si="139">IF(L27="K0",58500000,IF(L27="K1",63000000,IF(L27="K2",67500000,IF(L27="K3",72000000,IF(L27="TK0",54000000,IF(L27="TK1",58500000,IF(L27="TK2",63000000,IF(L27="TK3",67500000,54000000))))))))</f>
        <v>54000000</v>
      </c>
      <c r="BE27" s="80">
        <f t="shared" ref="BE27:BE32" si="140">IF(BC27&lt;BD27,0,+BC27-BD27)</f>
        <v>0</v>
      </c>
      <c r="BF27" s="81">
        <f t="shared" ref="BF27:BF32" si="141">INT((BE27)/1000)*1000</f>
        <v>0</v>
      </c>
      <c r="BG27" s="157">
        <f t="shared" ref="BG27:BG32" si="142">IF(BF27&lt;=60000000,BF27*5%,IF(BF27&lt;=250000000,(BF27-50000000)*15%+3000000,IF(BF27&lt;=500000000,(BF27-250000000)*25%+31500000,IF(BF27&gt;500000000,(BF27-500000000)*30%+94000000,IF(BF27&gt;5000000000,(BF27-5000000000)*35%+1444000000)))))</f>
        <v>0</v>
      </c>
      <c r="BH27" s="148">
        <f t="shared" ref="BH27:BH32" si="143">AJ27</f>
        <v>0</v>
      </c>
      <c r="BI27" s="83">
        <f t="shared" ref="BI27:BI32" si="144">ROUND(BG27-BH27,0)</f>
        <v>0</v>
      </c>
      <c r="BK27" s="159">
        <f>INT((+BE27-AO27)/1000)*1000</f>
        <v>0</v>
      </c>
      <c r="BL27" s="146">
        <f t="shared" ref="BL27:BL32" si="145">IF(BK27&lt;57000000,BK27*5/95,IF(BK27&gt;406000000,((+BK27-406000000)*30/70)+94000000,IF(218500000&lt;BK27&lt;=406000000,((BK27-218500000)*25/75)+31500000,IF(218500000=BK27&gt;57000000,((BK27-57000000)*15/85)+3000000))))</f>
        <v>0</v>
      </c>
      <c r="BM27" s="145"/>
      <c r="BN27" s="160">
        <f t="shared" ref="BN27:BN32" si="146">BG27-BM27</f>
        <v>0</v>
      </c>
      <c r="BP27" s="262">
        <f t="shared" si="2"/>
        <v>12</v>
      </c>
      <c r="BQ27" s="250">
        <f t="shared" si="21"/>
        <v>2024</v>
      </c>
      <c r="BR27" s="250">
        <f t="shared" si="3"/>
        <v>0</v>
      </c>
      <c r="BS27" s="250">
        <f t="shared" ref="BS27:BS32" si="147">F27</f>
        <v>0</v>
      </c>
      <c r="BT27" s="250">
        <f t="shared" ref="BT27:BT32" si="148">H27</f>
        <v>0</v>
      </c>
      <c r="BU27" s="250" t="s">
        <v>151</v>
      </c>
      <c r="BV27" s="263">
        <f t="shared" si="24"/>
        <v>0</v>
      </c>
      <c r="BW27" s="264">
        <f t="shared" si="25"/>
        <v>0</v>
      </c>
      <c r="BX27" s="250"/>
      <c r="BY27" s="247"/>
      <c r="BZ27" s="269"/>
      <c r="CA27" s="269"/>
      <c r="CB27" s="269"/>
      <c r="CC27" s="269"/>
      <c r="CD27" s="269"/>
      <c r="CE27" s="269"/>
      <c r="CF27" s="265">
        <f t="shared" ref="CF27:CF32" si="149">F27</f>
        <v>0</v>
      </c>
      <c r="CG27" s="266">
        <f t="shared" ref="CG27:CG32" si="150">C27</f>
        <v>0</v>
      </c>
      <c r="CH27" s="265">
        <f t="shared" ref="CH27:CH32" si="151">H27</f>
        <v>0</v>
      </c>
      <c r="CI27" s="266">
        <f t="shared" ref="CI27:CI32" si="152">J27</f>
        <v>0</v>
      </c>
      <c r="CJ27" s="265">
        <f t="shared" ref="CJ27:CJ32" si="153">I27</f>
        <v>0</v>
      </c>
      <c r="CK27" s="266">
        <f t="shared" ref="CK27:CK32" si="154">D27</f>
        <v>0</v>
      </c>
      <c r="CL27" s="265">
        <f t="shared" ref="CL27:CL32" si="155">E27</f>
        <v>0</v>
      </c>
      <c r="CM27" s="265">
        <f t="shared" ref="CM27:CM32" si="156">K27</f>
        <v>0</v>
      </c>
      <c r="CN27" s="265" t="s">
        <v>189</v>
      </c>
      <c r="CO27" s="265"/>
      <c r="CP27" s="265" t="s">
        <v>208</v>
      </c>
      <c r="CQ27" s="267">
        <f t="shared" ref="CQ27:CQ32" si="157">ROUND(AN27,0)</f>
        <v>0</v>
      </c>
      <c r="CR27" s="267">
        <f t="shared" ref="CR27:CR32" si="158">ROUND(AO27,0)</f>
        <v>0</v>
      </c>
      <c r="CS27" s="267">
        <f t="shared" ref="CS27:CS32" si="159">ROUND(AP27,0)</f>
        <v>0</v>
      </c>
      <c r="CT27" s="267">
        <f t="shared" ref="CT27:CT32" si="160">ROUND(AR27,0)</f>
        <v>0</v>
      </c>
      <c r="CU27" s="267">
        <f t="shared" ref="CU27:CU32" si="161">ROUND(AQ27,0)</f>
        <v>0</v>
      </c>
      <c r="CV27" s="267">
        <f t="shared" ref="CV27:CV32" si="162">ROUND(AS27,0)</f>
        <v>0</v>
      </c>
      <c r="CW27" s="267">
        <f t="shared" ref="CW27:CW32" si="163">ROUND(AU27,0)</f>
        <v>0</v>
      </c>
      <c r="CX27" s="267">
        <f t="shared" ref="CX27:CX32" si="164">ROUND(AV27,0)</f>
        <v>0</v>
      </c>
      <c r="CY27" s="267">
        <f t="shared" ref="CY27:CY32" si="165">ROUND(AW27,0)</f>
        <v>0</v>
      </c>
      <c r="CZ27" s="267">
        <f t="shared" ref="CZ27:CZ32" si="166">ROUND(BA27,0)</f>
        <v>0</v>
      </c>
      <c r="DA27" s="267">
        <f t="shared" ref="DA27:DA32" si="167">ROUND(BB27,0)</f>
        <v>0</v>
      </c>
      <c r="DB27" s="267">
        <f t="shared" ref="DB27:DB32" si="168">ROUND(BC27,0)</f>
        <v>0</v>
      </c>
      <c r="DC27" s="265">
        <v>13</v>
      </c>
      <c r="DD27" s="267">
        <f t="shared" ref="DD27:DD32" si="169">ROUND(DB27-DC27,0)</f>
        <v>-13</v>
      </c>
      <c r="DE27" s="267">
        <f t="shared" ref="DE27:DE32" si="170">ROUND(BD27,0)</f>
        <v>54000000</v>
      </c>
      <c r="DF27" s="267">
        <f t="shared" ref="DF27:DF32" si="171">ROUND(BE27,0)</f>
        <v>0</v>
      </c>
      <c r="DG27" s="267">
        <f t="shared" ref="DG27:DG32" si="172">ROUND(BG27,0)</f>
        <v>0</v>
      </c>
      <c r="DH27" s="265">
        <v>13</v>
      </c>
      <c r="DI27" s="267">
        <f t="shared" ref="DI27:DI32" si="173">ROUND(BG27,0)</f>
        <v>0</v>
      </c>
      <c r="DJ27" s="267">
        <f t="shared" ref="DJ27:DJ32" si="174">ROUND(DI27,0)</f>
        <v>0</v>
      </c>
      <c r="DK27" s="269"/>
      <c r="DL27" s="265">
        <f>DL20</f>
        <v>0</v>
      </c>
      <c r="DM27" s="265">
        <f>DM20</f>
        <v>0</v>
      </c>
      <c r="DN27" s="269"/>
    </row>
    <row r="28" spans="1:118" hidden="1" x14ac:dyDescent="0.35">
      <c r="A28" s="68">
        <v>21</v>
      </c>
      <c r="B28" s="69"/>
      <c r="C28" s="70"/>
      <c r="D28" s="70"/>
      <c r="E28" s="71"/>
      <c r="F28" s="279"/>
      <c r="G28" s="56" t="str">
        <f t="shared" si="0"/>
        <v>N</v>
      </c>
      <c r="H28" s="277"/>
      <c r="I28" s="58"/>
      <c r="J28" s="54"/>
      <c r="K28" s="59"/>
      <c r="L28" s="180"/>
      <c r="M28" s="182">
        <f>'Jan-Nov'!S27</f>
        <v>0</v>
      </c>
      <c r="N28" s="86">
        <f>'Jan-Nov'!U27</f>
        <v>0</v>
      </c>
      <c r="O28" s="87">
        <f>'Jan-Nov'!Z26</f>
        <v>0</v>
      </c>
      <c r="P28" s="87">
        <f>'Jan-Nov'!AB26</f>
        <v>0</v>
      </c>
      <c r="Q28" s="85">
        <f>'Jan-Nov'!AD26</f>
        <v>0</v>
      </c>
      <c r="R28" s="88">
        <f>'Jan-Nov'!AI26</f>
        <v>0</v>
      </c>
      <c r="S28" s="89">
        <f>'Jan-Nov'!AK26</f>
        <v>0</v>
      </c>
      <c r="T28" s="87">
        <f>'Jan-Nov'!AP26</f>
        <v>0</v>
      </c>
      <c r="U28" s="87">
        <f>'Jan-Nov'!AR26</f>
        <v>0</v>
      </c>
      <c r="V28" s="89">
        <f>'Jan-Nov'!AW26</f>
        <v>0</v>
      </c>
      <c r="W28" s="89">
        <f>'Jan-Nov'!AY26</f>
        <v>0</v>
      </c>
      <c r="X28" s="89">
        <f>'Jan-Nov'!BD26</f>
        <v>0</v>
      </c>
      <c r="Y28" s="89">
        <f>'Jan-Nov'!BF26</f>
        <v>0</v>
      </c>
      <c r="Z28" s="86">
        <f>'Jan-Nov'!BK26</f>
        <v>0</v>
      </c>
      <c r="AA28" s="86">
        <f>'Jan-Nov'!BM26</f>
        <v>0</v>
      </c>
      <c r="AB28" s="87">
        <f>'Jan-Nov'!BR26</f>
        <v>0</v>
      </c>
      <c r="AC28" s="87">
        <f>'Jan-Nov'!BT26</f>
        <v>0</v>
      </c>
      <c r="AD28" s="85">
        <f>'Jan-Nov'!BY26</f>
        <v>0</v>
      </c>
      <c r="AE28" s="88">
        <f>'Jan-Nov'!CA26</f>
        <v>0</v>
      </c>
      <c r="AF28" s="89">
        <f>'Jan-Nov'!CF26</f>
        <v>0</v>
      </c>
      <c r="AG28" s="87">
        <f>'Jan-Nov'!CH26</f>
        <v>0</v>
      </c>
      <c r="AH28" s="85">
        <f>'Jan-Nov'!CM26</f>
        <v>0</v>
      </c>
      <c r="AI28" s="126">
        <f t="shared" si="126"/>
        <v>0</v>
      </c>
      <c r="AJ28" s="90">
        <f t="shared" si="127"/>
        <v>0</v>
      </c>
      <c r="AK28" s="123"/>
      <c r="AL28" s="126">
        <f>'Data Gaji'!LG26</f>
        <v>0</v>
      </c>
      <c r="AM28" s="128">
        <f>'Jan-Nov'!CQ26</f>
        <v>0</v>
      </c>
      <c r="AN28" s="125">
        <f t="shared" si="128"/>
        <v>0</v>
      </c>
      <c r="AO28" s="77">
        <f t="shared" si="129"/>
        <v>0</v>
      </c>
      <c r="AP28" s="77">
        <f>'Data Gaji'!LO26</f>
        <v>0</v>
      </c>
      <c r="AQ28" s="77">
        <f>'Data Gaji'!LF26*12</f>
        <v>0</v>
      </c>
      <c r="AR28" s="77"/>
      <c r="AS28" s="77"/>
      <c r="AT28" s="75">
        <f t="shared" si="130"/>
        <v>0</v>
      </c>
      <c r="AU28" s="82"/>
      <c r="AV28" s="84">
        <f t="shared" si="131"/>
        <v>0</v>
      </c>
      <c r="AW28" s="76">
        <f t="shared" si="132"/>
        <v>0</v>
      </c>
      <c r="AX28" s="77">
        <f t="shared" si="133"/>
        <v>0</v>
      </c>
      <c r="AY28" s="77">
        <f t="shared" si="134"/>
        <v>0</v>
      </c>
      <c r="AZ28" s="77">
        <f t="shared" si="135"/>
        <v>0</v>
      </c>
      <c r="BA28" s="77">
        <f t="shared" si="136"/>
        <v>0</v>
      </c>
      <c r="BB28" s="74">
        <f t="shared" si="137"/>
        <v>0</v>
      </c>
      <c r="BC28" s="78">
        <f t="shared" si="138"/>
        <v>0</v>
      </c>
      <c r="BD28" s="79">
        <f t="shared" si="139"/>
        <v>54000000</v>
      </c>
      <c r="BE28" s="80">
        <f t="shared" si="140"/>
        <v>0</v>
      </c>
      <c r="BF28" s="81">
        <f t="shared" si="141"/>
        <v>0</v>
      </c>
      <c r="BG28" s="157">
        <f t="shared" si="142"/>
        <v>0</v>
      </c>
      <c r="BH28" s="148">
        <f t="shared" si="143"/>
        <v>0</v>
      </c>
      <c r="BI28" s="83">
        <f t="shared" si="144"/>
        <v>0</v>
      </c>
      <c r="BK28" s="159">
        <f t="shared" ref="BK28:BK32" si="175">INT((+BE28-AO28)/1000)*1000</f>
        <v>0</v>
      </c>
      <c r="BL28" s="146">
        <f t="shared" si="145"/>
        <v>0</v>
      </c>
      <c r="BM28" s="145"/>
      <c r="BN28" s="160">
        <f t="shared" si="146"/>
        <v>0</v>
      </c>
      <c r="BP28" s="262">
        <f t="shared" si="2"/>
        <v>12</v>
      </c>
      <c r="BQ28" s="250">
        <f t="shared" si="21"/>
        <v>2024</v>
      </c>
      <c r="BR28" s="250">
        <f t="shared" si="3"/>
        <v>0</v>
      </c>
      <c r="BS28" s="250">
        <f t="shared" si="147"/>
        <v>0</v>
      </c>
      <c r="BT28" s="250">
        <f t="shared" si="148"/>
        <v>0</v>
      </c>
      <c r="BU28" s="250" t="s">
        <v>152</v>
      </c>
      <c r="BV28" s="263">
        <f t="shared" si="24"/>
        <v>0</v>
      </c>
      <c r="BW28" s="264">
        <f t="shared" si="25"/>
        <v>0</v>
      </c>
      <c r="BX28" s="250"/>
      <c r="BY28" s="247"/>
      <c r="BZ28" s="269"/>
      <c r="CA28" s="269"/>
      <c r="CB28" s="269"/>
      <c r="CC28" s="269"/>
      <c r="CD28" s="269"/>
      <c r="CE28" s="269"/>
      <c r="CF28" s="265">
        <f t="shared" si="149"/>
        <v>0</v>
      </c>
      <c r="CG28" s="266">
        <f t="shared" si="150"/>
        <v>0</v>
      </c>
      <c r="CH28" s="265">
        <f t="shared" si="151"/>
        <v>0</v>
      </c>
      <c r="CI28" s="266">
        <f t="shared" si="152"/>
        <v>0</v>
      </c>
      <c r="CJ28" s="265">
        <f t="shared" si="153"/>
        <v>0</v>
      </c>
      <c r="CK28" s="266">
        <f t="shared" si="154"/>
        <v>0</v>
      </c>
      <c r="CL28" s="265">
        <f t="shared" si="155"/>
        <v>0</v>
      </c>
      <c r="CM28" s="265">
        <f t="shared" si="156"/>
        <v>0</v>
      </c>
      <c r="CN28" s="265" t="s">
        <v>189</v>
      </c>
      <c r="CO28" s="265"/>
      <c r="CP28" s="265" t="s">
        <v>209</v>
      </c>
      <c r="CQ28" s="267">
        <f t="shared" si="157"/>
        <v>0</v>
      </c>
      <c r="CR28" s="267">
        <f t="shared" si="158"/>
        <v>0</v>
      </c>
      <c r="CS28" s="267">
        <f t="shared" si="159"/>
        <v>0</v>
      </c>
      <c r="CT28" s="267">
        <f t="shared" si="160"/>
        <v>0</v>
      </c>
      <c r="CU28" s="267">
        <f t="shared" si="161"/>
        <v>0</v>
      </c>
      <c r="CV28" s="267">
        <f t="shared" si="162"/>
        <v>0</v>
      </c>
      <c r="CW28" s="267">
        <f t="shared" si="163"/>
        <v>0</v>
      </c>
      <c r="CX28" s="267">
        <f t="shared" si="164"/>
        <v>0</v>
      </c>
      <c r="CY28" s="267">
        <f t="shared" si="165"/>
        <v>0</v>
      </c>
      <c r="CZ28" s="267">
        <f t="shared" si="166"/>
        <v>0</v>
      </c>
      <c r="DA28" s="267">
        <f t="shared" si="167"/>
        <v>0</v>
      </c>
      <c r="DB28" s="267">
        <f t="shared" si="168"/>
        <v>0</v>
      </c>
      <c r="DC28" s="265">
        <v>14</v>
      </c>
      <c r="DD28" s="267">
        <f t="shared" si="169"/>
        <v>-14</v>
      </c>
      <c r="DE28" s="267">
        <f t="shared" si="170"/>
        <v>54000000</v>
      </c>
      <c r="DF28" s="267">
        <f t="shared" si="171"/>
        <v>0</v>
      </c>
      <c r="DG28" s="267">
        <f t="shared" si="172"/>
        <v>0</v>
      </c>
      <c r="DH28" s="265">
        <v>14</v>
      </c>
      <c r="DI28" s="267">
        <f t="shared" si="173"/>
        <v>0</v>
      </c>
      <c r="DJ28" s="267">
        <f t="shared" si="174"/>
        <v>0</v>
      </c>
      <c r="DK28" s="269"/>
      <c r="DL28" s="265">
        <f t="shared" ref="DL28:DM28" si="176">DL27</f>
        <v>0</v>
      </c>
      <c r="DM28" s="265">
        <f t="shared" si="176"/>
        <v>0</v>
      </c>
      <c r="DN28" s="269"/>
    </row>
    <row r="29" spans="1:118" hidden="1" x14ac:dyDescent="0.35">
      <c r="A29" s="68">
        <v>22</v>
      </c>
      <c r="B29" s="69"/>
      <c r="C29" s="70"/>
      <c r="D29" s="70"/>
      <c r="E29" s="71"/>
      <c r="F29" s="279"/>
      <c r="G29" s="56" t="str">
        <f t="shared" si="0"/>
        <v>N</v>
      </c>
      <c r="H29" s="277"/>
      <c r="I29" s="58"/>
      <c r="J29" s="54"/>
      <c r="K29" s="59"/>
      <c r="L29" s="180"/>
      <c r="M29" s="182">
        <f>'Jan-Nov'!S28</f>
        <v>0</v>
      </c>
      <c r="N29" s="86">
        <f>'Jan-Nov'!U28</f>
        <v>0</v>
      </c>
      <c r="O29" s="87">
        <f>'Jan-Nov'!Z27</f>
        <v>0</v>
      </c>
      <c r="P29" s="87">
        <f>'Jan-Nov'!AB27</f>
        <v>0</v>
      </c>
      <c r="Q29" s="85">
        <f>'Jan-Nov'!AD27</f>
        <v>0</v>
      </c>
      <c r="R29" s="88">
        <f>'Jan-Nov'!AI27</f>
        <v>0</v>
      </c>
      <c r="S29" s="89">
        <f>'Jan-Nov'!AK27</f>
        <v>0</v>
      </c>
      <c r="T29" s="87">
        <f>'Jan-Nov'!AP27</f>
        <v>0</v>
      </c>
      <c r="U29" s="87">
        <f>'Jan-Nov'!AR27</f>
        <v>0</v>
      </c>
      <c r="V29" s="89">
        <f>'Jan-Nov'!AW27</f>
        <v>0</v>
      </c>
      <c r="W29" s="89">
        <f>'Jan-Nov'!AY27</f>
        <v>0</v>
      </c>
      <c r="X29" s="89">
        <f>'Jan-Nov'!BD27</f>
        <v>0</v>
      </c>
      <c r="Y29" s="89">
        <f>'Jan-Nov'!BF27</f>
        <v>0</v>
      </c>
      <c r="Z29" s="86">
        <f>'Jan-Nov'!BK27</f>
        <v>0</v>
      </c>
      <c r="AA29" s="86">
        <f>'Jan-Nov'!BM27</f>
        <v>0</v>
      </c>
      <c r="AB29" s="87">
        <f>'Jan-Nov'!BR27</f>
        <v>0</v>
      </c>
      <c r="AC29" s="87">
        <f>'Jan-Nov'!BT27</f>
        <v>0</v>
      </c>
      <c r="AD29" s="85">
        <f>'Jan-Nov'!BY27</f>
        <v>0</v>
      </c>
      <c r="AE29" s="88">
        <f>'Jan-Nov'!CA27</f>
        <v>0</v>
      </c>
      <c r="AF29" s="89">
        <f>'Jan-Nov'!CF27</f>
        <v>0</v>
      </c>
      <c r="AG29" s="87">
        <f>'Jan-Nov'!CH27</f>
        <v>0</v>
      </c>
      <c r="AH29" s="85">
        <f>'Jan-Nov'!CM27</f>
        <v>0</v>
      </c>
      <c r="AI29" s="126">
        <f t="shared" si="126"/>
        <v>0</v>
      </c>
      <c r="AJ29" s="90">
        <f t="shared" si="127"/>
        <v>0</v>
      </c>
      <c r="AK29" s="123"/>
      <c r="AL29" s="126">
        <f>'Data Gaji'!LG27</f>
        <v>0</v>
      </c>
      <c r="AM29" s="128">
        <f>'Jan-Nov'!CQ27</f>
        <v>0</v>
      </c>
      <c r="AN29" s="125">
        <f t="shared" si="128"/>
        <v>0</v>
      </c>
      <c r="AO29" s="77">
        <f t="shared" si="129"/>
        <v>0</v>
      </c>
      <c r="AP29" s="77">
        <f>'Data Gaji'!LO27</f>
        <v>0</v>
      </c>
      <c r="AQ29" s="77">
        <f>'Data Gaji'!LF27*12</f>
        <v>0</v>
      </c>
      <c r="AR29" s="77"/>
      <c r="AS29" s="77"/>
      <c r="AT29" s="75">
        <f t="shared" si="130"/>
        <v>0</v>
      </c>
      <c r="AU29" s="82"/>
      <c r="AV29" s="84">
        <f t="shared" si="131"/>
        <v>0</v>
      </c>
      <c r="AW29" s="76">
        <f t="shared" si="132"/>
        <v>0</v>
      </c>
      <c r="AX29" s="77">
        <f t="shared" si="133"/>
        <v>0</v>
      </c>
      <c r="AY29" s="77">
        <f t="shared" si="134"/>
        <v>0</v>
      </c>
      <c r="AZ29" s="77">
        <f t="shared" si="135"/>
        <v>0</v>
      </c>
      <c r="BA29" s="77">
        <f t="shared" si="136"/>
        <v>0</v>
      </c>
      <c r="BB29" s="74">
        <f t="shared" si="137"/>
        <v>0</v>
      </c>
      <c r="BC29" s="78">
        <f t="shared" si="138"/>
        <v>0</v>
      </c>
      <c r="BD29" s="79">
        <f t="shared" si="139"/>
        <v>54000000</v>
      </c>
      <c r="BE29" s="80">
        <f t="shared" si="140"/>
        <v>0</v>
      </c>
      <c r="BF29" s="81">
        <f t="shared" si="141"/>
        <v>0</v>
      </c>
      <c r="BG29" s="157">
        <f t="shared" si="142"/>
        <v>0</v>
      </c>
      <c r="BH29" s="148">
        <f t="shared" si="143"/>
        <v>0</v>
      </c>
      <c r="BI29" s="83">
        <f t="shared" si="144"/>
        <v>0</v>
      </c>
      <c r="BK29" s="159">
        <f t="shared" si="175"/>
        <v>0</v>
      </c>
      <c r="BL29" s="146">
        <f t="shared" si="145"/>
        <v>0</v>
      </c>
      <c r="BM29" s="145"/>
      <c r="BN29" s="160">
        <f t="shared" si="146"/>
        <v>0</v>
      </c>
      <c r="BP29" s="262">
        <f t="shared" si="2"/>
        <v>12</v>
      </c>
      <c r="BQ29" s="250">
        <f t="shared" si="21"/>
        <v>2024</v>
      </c>
      <c r="BR29" s="250">
        <f t="shared" si="3"/>
        <v>0</v>
      </c>
      <c r="BS29" s="250">
        <f t="shared" si="147"/>
        <v>0</v>
      </c>
      <c r="BT29" s="250">
        <f t="shared" si="148"/>
        <v>0</v>
      </c>
      <c r="BU29" s="250" t="s">
        <v>153</v>
      </c>
      <c r="BV29" s="263">
        <f t="shared" si="24"/>
        <v>0</v>
      </c>
      <c r="BW29" s="264">
        <f t="shared" si="25"/>
        <v>0</v>
      </c>
      <c r="BX29" s="250"/>
      <c r="BY29" s="247"/>
      <c r="BZ29" s="269"/>
      <c r="CA29" s="269"/>
      <c r="CB29" s="269"/>
      <c r="CC29" s="269"/>
      <c r="CD29" s="269"/>
      <c r="CE29" s="269"/>
      <c r="CF29" s="265">
        <f t="shared" si="149"/>
        <v>0</v>
      </c>
      <c r="CG29" s="266">
        <f t="shared" si="150"/>
        <v>0</v>
      </c>
      <c r="CH29" s="265">
        <f t="shared" si="151"/>
        <v>0</v>
      </c>
      <c r="CI29" s="266">
        <f t="shared" si="152"/>
        <v>0</v>
      </c>
      <c r="CJ29" s="265">
        <f t="shared" si="153"/>
        <v>0</v>
      </c>
      <c r="CK29" s="266">
        <f t="shared" si="154"/>
        <v>0</v>
      </c>
      <c r="CL29" s="265">
        <f t="shared" si="155"/>
        <v>0</v>
      </c>
      <c r="CM29" s="265">
        <f t="shared" si="156"/>
        <v>0</v>
      </c>
      <c r="CN29" s="265" t="s">
        <v>189</v>
      </c>
      <c r="CO29" s="265"/>
      <c r="CP29" s="265" t="s">
        <v>210</v>
      </c>
      <c r="CQ29" s="267">
        <f t="shared" si="157"/>
        <v>0</v>
      </c>
      <c r="CR29" s="267">
        <f t="shared" si="158"/>
        <v>0</v>
      </c>
      <c r="CS29" s="267">
        <f t="shared" si="159"/>
        <v>0</v>
      </c>
      <c r="CT29" s="267">
        <f t="shared" si="160"/>
        <v>0</v>
      </c>
      <c r="CU29" s="267">
        <f t="shared" si="161"/>
        <v>0</v>
      </c>
      <c r="CV29" s="267">
        <f t="shared" si="162"/>
        <v>0</v>
      </c>
      <c r="CW29" s="267">
        <f t="shared" si="163"/>
        <v>0</v>
      </c>
      <c r="CX29" s="267">
        <f t="shared" si="164"/>
        <v>0</v>
      </c>
      <c r="CY29" s="267">
        <f t="shared" si="165"/>
        <v>0</v>
      </c>
      <c r="CZ29" s="267">
        <f t="shared" si="166"/>
        <v>0</v>
      </c>
      <c r="DA29" s="267">
        <f t="shared" si="167"/>
        <v>0</v>
      </c>
      <c r="DB29" s="267">
        <f t="shared" si="168"/>
        <v>0</v>
      </c>
      <c r="DC29" s="265">
        <v>15</v>
      </c>
      <c r="DD29" s="267">
        <f t="shared" si="169"/>
        <v>-15</v>
      </c>
      <c r="DE29" s="267">
        <f t="shared" si="170"/>
        <v>54000000</v>
      </c>
      <c r="DF29" s="267">
        <f t="shared" si="171"/>
        <v>0</v>
      </c>
      <c r="DG29" s="267">
        <f t="shared" si="172"/>
        <v>0</v>
      </c>
      <c r="DH29" s="265">
        <v>15</v>
      </c>
      <c r="DI29" s="267">
        <f t="shared" si="173"/>
        <v>0</v>
      </c>
      <c r="DJ29" s="267">
        <f t="shared" si="174"/>
        <v>0</v>
      </c>
      <c r="DK29" s="269"/>
      <c r="DL29" s="265">
        <f t="shared" ref="DL29:DM29" si="177">DL28</f>
        <v>0</v>
      </c>
      <c r="DM29" s="265">
        <f t="shared" si="177"/>
        <v>0</v>
      </c>
      <c r="DN29" s="269"/>
    </row>
    <row r="30" spans="1:118" hidden="1" x14ac:dyDescent="0.35">
      <c r="A30" s="68">
        <v>23</v>
      </c>
      <c r="B30" s="69"/>
      <c r="C30" s="70"/>
      <c r="D30" s="70"/>
      <c r="E30" s="71"/>
      <c r="F30" s="279"/>
      <c r="G30" s="56" t="str">
        <f t="shared" si="0"/>
        <v>N</v>
      </c>
      <c r="H30" s="277"/>
      <c r="I30" s="58"/>
      <c r="J30" s="54"/>
      <c r="K30" s="59"/>
      <c r="L30" s="180"/>
      <c r="M30" s="182">
        <f>'Jan-Nov'!S29</f>
        <v>0</v>
      </c>
      <c r="N30" s="86">
        <f>'Jan-Nov'!U29</f>
        <v>0</v>
      </c>
      <c r="O30" s="87">
        <f>'Jan-Nov'!Z28</f>
        <v>0</v>
      </c>
      <c r="P30" s="87">
        <f>'Jan-Nov'!AB28</f>
        <v>0</v>
      </c>
      <c r="Q30" s="85">
        <f>'Jan-Nov'!AD28</f>
        <v>0</v>
      </c>
      <c r="R30" s="88">
        <f>'Jan-Nov'!AI28</f>
        <v>0</v>
      </c>
      <c r="S30" s="89">
        <f>'Jan-Nov'!AK28</f>
        <v>0</v>
      </c>
      <c r="T30" s="87">
        <f>'Jan-Nov'!AP28</f>
        <v>0</v>
      </c>
      <c r="U30" s="87">
        <f>'Jan-Nov'!AR28</f>
        <v>0</v>
      </c>
      <c r="V30" s="89">
        <f>'Jan-Nov'!AW28</f>
        <v>0</v>
      </c>
      <c r="W30" s="89">
        <f>'Jan-Nov'!AY28</f>
        <v>0</v>
      </c>
      <c r="X30" s="89">
        <f>'Jan-Nov'!BD28</f>
        <v>0</v>
      </c>
      <c r="Y30" s="89">
        <f>'Jan-Nov'!BF28</f>
        <v>0</v>
      </c>
      <c r="Z30" s="86">
        <f>'Jan-Nov'!BK28</f>
        <v>0</v>
      </c>
      <c r="AA30" s="86">
        <f>'Jan-Nov'!BM28</f>
        <v>0</v>
      </c>
      <c r="AB30" s="87">
        <f>'Jan-Nov'!BR28</f>
        <v>0</v>
      </c>
      <c r="AC30" s="87">
        <f>'Jan-Nov'!BT28</f>
        <v>0</v>
      </c>
      <c r="AD30" s="85">
        <f>'Jan-Nov'!BY28</f>
        <v>0</v>
      </c>
      <c r="AE30" s="88">
        <f>'Jan-Nov'!CA28</f>
        <v>0</v>
      </c>
      <c r="AF30" s="89">
        <f>'Jan-Nov'!CF28</f>
        <v>0</v>
      </c>
      <c r="AG30" s="87">
        <f>'Jan-Nov'!CH28</f>
        <v>0</v>
      </c>
      <c r="AH30" s="85">
        <f>'Jan-Nov'!CM28</f>
        <v>0</v>
      </c>
      <c r="AI30" s="126">
        <f t="shared" si="126"/>
        <v>0</v>
      </c>
      <c r="AJ30" s="90">
        <f t="shared" si="127"/>
        <v>0</v>
      </c>
      <c r="AK30" s="123"/>
      <c r="AL30" s="126">
        <f>'Data Gaji'!LG28</f>
        <v>0</v>
      </c>
      <c r="AM30" s="128">
        <f>'Jan-Nov'!CQ28</f>
        <v>0</v>
      </c>
      <c r="AN30" s="125">
        <f t="shared" si="128"/>
        <v>0</v>
      </c>
      <c r="AO30" s="77">
        <f t="shared" si="129"/>
        <v>0</v>
      </c>
      <c r="AP30" s="77">
        <f>'Data Gaji'!LO28</f>
        <v>0</v>
      </c>
      <c r="AQ30" s="77">
        <f>'Data Gaji'!LF28*12</f>
        <v>0</v>
      </c>
      <c r="AR30" s="77"/>
      <c r="AS30" s="77"/>
      <c r="AT30" s="75">
        <f t="shared" si="130"/>
        <v>0</v>
      </c>
      <c r="AU30" s="82"/>
      <c r="AV30" s="84">
        <f t="shared" si="131"/>
        <v>0</v>
      </c>
      <c r="AW30" s="76">
        <f t="shared" si="132"/>
        <v>0</v>
      </c>
      <c r="AX30" s="77">
        <f t="shared" si="133"/>
        <v>0</v>
      </c>
      <c r="AY30" s="77">
        <f t="shared" si="134"/>
        <v>0</v>
      </c>
      <c r="AZ30" s="77">
        <f t="shared" si="135"/>
        <v>0</v>
      </c>
      <c r="BA30" s="77">
        <f t="shared" si="136"/>
        <v>0</v>
      </c>
      <c r="BB30" s="74">
        <f t="shared" si="137"/>
        <v>0</v>
      </c>
      <c r="BC30" s="78">
        <f t="shared" si="138"/>
        <v>0</v>
      </c>
      <c r="BD30" s="79">
        <f t="shared" si="139"/>
        <v>54000000</v>
      </c>
      <c r="BE30" s="80">
        <f t="shared" si="140"/>
        <v>0</v>
      </c>
      <c r="BF30" s="81">
        <f t="shared" si="141"/>
        <v>0</v>
      </c>
      <c r="BG30" s="157">
        <f t="shared" si="142"/>
        <v>0</v>
      </c>
      <c r="BH30" s="148">
        <f t="shared" si="143"/>
        <v>0</v>
      </c>
      <c r="BI30" s="83">
        <f t="shared" si="144"/>
        <v>0</v>
      </c>
      <c r="BK30" s="159">
        <f t="shared" si="175"/>
        <v>0</v>
      </c>
      <c r="BL30" s="146">
        <f t="shared" si="145"/>
        <v>0</v>
      </c>
      <c r="BM30" s="145"/>
      <c r="BN30" s="160">
        <f t="shared" si="146"/>
        <v>0</v>
      </c>
      <c r="BP30" s="262">
        <f t="shared" si="2"/>
        <v>12</v>
      </c>
      <c r="BQ30" s="250">
        <f t="shared" si="21"/>
        <v>2024</v>
      </c>
      <c r="BR30" s="250">
        <f t="shared" si="3"/>
        <v>0</v>
      </c>
      <c r="BS30" s="250">
        <f t="shared" si="147"/>
        <v>0</v>
      </c>
      <c r="BT30" s="250">
        <f t="shared" si="148"/>
        <v>0</v>
      </c>
      <c r="BU30" s="250" t="s">
        <v>154</v>
      </c>
      <c r="BV30" s="263">
        <f t="shared" si="24"/>
        <v>0</v>
      </c>
      <c r="BW30" s="264">
        <f t="shared" si="25"/>
        <v>0</v>
      </c>
      <c r="BX30" s="250"/>
      <c r="BY30" s="247"/>
      <c r="BZ30" s="269"/>
      <c r="CA30" s="269"/>
      <c r="CB30" s="269"/>
      <c r="CC30" s="269"/>
      <c r="CD30" s="269"/>
      <c r="CE30" s="269"/>
      <c r="CF30" s="265">
        <f t="shared" si="149"/>
        <v>0</v>
      </c>
      <c r="CG30" s="266">
        <f t="shared" si="150"/>
        <v>0</v>
      </c>
      <c r="CH30" s="265">
        <f t="shared" si="151"/>
        <v>0</v>
      </c>
      <c r="CI30" s="266">
        <f t="shared" si="152"/>
        <v>0</v>
      </c>
      <c r="CJ30" s="265">
        <f t="shared" si="153"/>
        <v>0</v>
      </c>
      <c r="CK30" s="266">
        <f t="shared" si="154"/>
        <v>0</v>
      </c>
      <c r="CL30" s="265">
        <f t="shared" si="155"/>
        <v>0</v>
      </c>
      <c r="CM30" s="265">
        <f t="shared" si="156"/>
        <v>0</v>
      </c>
      <c r="CN30" s="265" t="s">
        <v>189</v>
      </c>
      <c r="CO30" s="265"/>
      <c r="CP30" s="265" t="s">
        <v>211</v>
      </c>
      <c r="CQ30" s="267">
        <f t="shared" si="157"/>
        <v>0</v>
      </c>
      <c r="CR30" s="267">
        <f t="shared" si="158"/>
        <v>0</v>
      </c>
      <c r="CS30" s="267">
        <f t="shared" si="159"/>
        <v>0</v>
      </c>
      <c r="CT30" s="267">
        <f t="shared" si="160"/>
        <v>0</v>
      </c>
      <c r="CU30" s="267">
        <f t="shared" si="161"/>
        <v>0</v>
      </c>
      <c r="CV30" s="267">
        <f t="shared" si="162"/>
        <v>0</v>
      </c>
      <c r="CW30" s="267">
        <f t="shared" si="163"/>
        <v>0</v>
      </c>
      <c r="CX30" s="267">
        <f t="shared" si="164"/>
        <v>0</v>
      </c>
      <c r="CY30" s="267">
        <f t="shared" si="165"/>
        <v>0</v>
      </c>
      <c r="CZ30" s="267">
        <f t="shared" si="166"/>
        <v>0</v>
      </c>
      <c r="DA30" s="267">
        <f t="shared" si="167"/>
        <v>0</v>
      </c>
      <c r="DB30" s="267">
        <f t="shared" si="168"/>
        <v>0</v>
      </c>
      <c r="DC30" s="265">
        <v>16</v>
      </c>
      <c r="DD30" s="267">
        <f t="shared" si="169"/>
        <v>-16</v>
      </c>
      <c r="DE30" s="267">
        <f t="shared" si="170"/>
        <v>54000000</v>
      </c>
      <c r="DF30" s="267">
        <f t="shared" si="171"/>
        <v>0</v>
      </c>
      <c r="DG30" s="267">
        <f t="shared" si="172"/>
        <v>0</v>
      </c>
      <c r="DH30" s="265">
        <v>16</v>
      </c>
      <c r="DI30" s="267">
        <f t="shared" si="173"/>
        <v>0</v>
      </c>
      <c r="DJ30" s="267">
        <f t="shared" si="174"/>
        <v>0</v>
      </c>
      <c r="DK30" s="269"/>
      <c r="DL30" s="265">
        <f t="shared" ref="DL30:DM30" si="178">DL29</f>
        <v>0</v>
      </c>
      <c r="DM30" s="265">
        <f t="shared" si="178"/>
        <v>0</v>
      </c>
      <c r="DN30" s="269"/>
    </row>
    <row r="31" spans="1:118" hidden="1" x14ac:dyDescent="0.35">
      <c r="A31" s="68">
        <v>24</v>
      </c>
      <c r="B31" s="69"/>
      <c r="C31" s="70"/>
      <c r="D31" s="70"/>
      <c r="E31" s="71"/>
      <c r="F31" s="279"/>
      <c r="G31" s="56" t="str">
        <f t="shared" si="0"/>
        <v>N</v>
      </c>
      <c r="H31" s="277"/>
      <c r="I31" s="58"/>
      <c r="J31" s="54"/>
      <c r="K31" s="59"/>
      <c r="L31" s="180"/>
      <c r="M31" s="182">
        <f>'Jan-Nov'!S30</f>
        <v>0</v>
      </c>
      <c r="N31" s="86">
        <f>'Jan-Nov'!U30</f>
        <v>0</v>
      </c>
      <c r="O31" s="87">
        <f>'Jan-Nov'!Z29</f>
        <v>0</v>
      </c>
      <c r="P31" s="87">
        <f>'Jan-Nov'!AB29</f>
        <v>0</v>
      </c>
      <c r="Q31" s="85">
        <f>'Jan-Nov'!AD29</f>
        <v>0</v>
      </c>
      <c r="R31" s="88">
        <f>'Jan-Nov'!AI29</f>
        <v>0</v>
      </c>
      <c r="S31" s="89">
        <f>'Jan-Nov'!AK29</f>
        <v>0</v>
      </c>
      <c r="T31" s="87">
        <f>'Jan-Nov'!AP29</f>
        <v>0</v>
      </c>
      <c r="U31" s="87">
        <f>'Jan-Nov'!AR29</f>
        <v>0</v>
      </c>
      <c r="V31" s="89">
        <f>'Jan-Nov'!AW29</f>
        <v>0</v>
      </c>
      <c r="W31" s="89">
        <f>'Jan-Nov'!AY29</f>
        <v>0</v>
      </c>
      <c r="X31" s="89">
        <f>'Jan-Nov'!BD29</f>
        <v>0</v>
      </c>
      <c r="Y31" s="89"/>
      <c r="Z31" s="86"/>
      <c r="AA31" s="86">
        <f>'Jan-Nov'!BM29</f>
        <v>0</v>
      </c>
      <c r="AB31" s="87">
        <f>'Jan-Nov'!BR29</f>
        <v>0</v>
      </c>
      <c r="AC31" s="87">
        <f>'Jan-Nov'!BT29</f>
        <v>0</v>
      </c>
      <c r="AD31" s="85">
        <f>'Jan-Nov'!BY29</f>
        <v>0</v>
      </c>
      <c r="AE31" s="88">
        <f>'Jan-Nov'!CA29</f>
        <v>0</v>
      </c>
      <c r="AF31" s="89">
        <f>'Jan-Nov'!CF29</f>
        <v>0</v>
      </c>
      <c r="AG31" s="87">
        <f>'Jan-Nov'!CH29</f>
        <v>0</v>
      </c>
      <c r="AH31" s="85">
        <f>'Jan-Nov'!CM29</f>
        <v>0</v>
      </c>
      <c r="AI31" s="126">
        <f t="shared" si="126"/>
        <v>0</v>
      </c>
      <c r="AJ31" s="90">
        <f t="shared" si="127"/>
        <v>0</v>
      </c>
      <c r="AK31" s="123"/>
      <c r="AL31" s="126">
        <f>'Data Gaji'!LG29</f>
        <v>0</v>
      </c>
      <c r="AM31" s="128">
        <f>'Jan-Nov'!CQ29</f>
        <v>0</v>
      </c>
      <c r="AN31" s="125">
        <f t="shared" si="128"/>
        <v>0</v>
      </c>
      <c r="AO31" s="77">
        <f t="shared" si="129"/>
        <v>0</v>
      </c>
      <c r="AP31" s="77">
        <f>'Data Gaji'!LO29</f>
        <v>0</v>
      </c>
      <c r="AQ31" s="77">
        <f>'Data Gaji'!LF29*12</f>
        <v>0</v>
      </c>
      <c r="AR31" s="77"/>
      <c r="AS31" s="77"/>
      <c r="AT31" s="75">
        <f t="shared" ref="AT31" si="179">SUM(AN31:AS31)</f>
        <v>0</v>
      </c>
      <c r="AU31" s="82"/>
      <c r="AV31" s="84">
        <f t="shared" si="131"/>
        <v>0</v>
      </c>
      <c r="AW31" s="76">
        <f t="shared" si="132"/>
        <v>0</v>
      </c>
      <c r="AX31" s="77">
        <f t="shared" si="133"/>
        <v>0</v>
      </c>
      <c r="AY31" s="77">
        <f t="shared" si="134"/>
        <v>0</v>
      </c>
      <c r="AZ31" s="77">
        <f t="shared" si="135"/>
        <v>0</v>
      </c>
      <c r="BA31" s="77">
        <f t="shared" si="136"/>
        <v>0</v>
      </c>
      <c r="BB31" s="74">
        <f t="shared" si="137"/>
        <v>0</v>
      </c>
      <c r="BC31" s="78">
        <f t="shared" si="138"/>
        <v>0</v>
      </c>
      <c r="BD31" s="79">
        <f t="shared" si="139"/>
        <v>54000000</v>
      </c>
      <c r="BE31" s="80">
        <f t="shared" si="140"/>
        <v>0</v>
      </c>
      <c r="BF31" s="81">
        <f t="shared" si="141"/>
        <v>0</v>
      </c>
      <c r="BG31" s="157">
        <f t="shared" si="142"/>
        <v>0</v>
      </c>
      <c r="BH31" s="148">
        <f t="shared" si="143"/>
        <v>0</v>
      </c>
      <c r="BI31" s="83">
        <f t="shared" si="144"/>
        <v>0</v>
      </c>
      <c r="BK31" s="159">
        <f t="shared" si="175"/>
        <v>0</v>
      </c>
      <c r="BL31" s="146">
        <f t="shared" si="145"/>
        <v>0</v>
      </c>
      <c r="BM31" s="145"/>
      <c r="BN31" s="160">
        <f t="shared" si="146"/>
        <v>0</v>
      </c>
      <c r="BP31" s="262">
        <f t="shared" si="2"/>
        <v>12</v>
      </c>
      <c r="BQ31" s="250">
        <f t="shared" si="21"/>
        <v>2024</v>
      </c>
      <c r="BR31" s="250">
        <f t="shared" si="3"/>
        <v>0</v>
      </c>
      <c r="BS31" s="250">
        <f t="shared" si="147"/>
        <v>0</v>
      </c>
      <c r="BT31" s="250">
        <f t="shared" si="148"/>
        <v>0</v>
      </c>
      <c r="BU31" s="250" t="s">
        <v>155</v>
      </c>
      <c r="BV31" s="263">
        <f t="shared" si="24"/>
        <v>0</v>
      </c>
      <c r="BW31" s="264">
        <f t="shared" si="25"/>
        <v>0</v>
      </c>
      <c r="BX31" s="250"/>
      <c r="BY31" s="247"/>
      <c r="BZ31" s="269"/>
      <c r="CA31" s="269"/>
      <c r="CB31" s="269"/>
      <c r="CC31" s="269"/>
      <c r="CD31" s="269"/>
      <c r="CE31" s="269"/>
      <c r="CF31" s="265">
        <f t="shared" si="149"/>
        <v>0</v>
      </c>
      <c r="CG31" s="266">
        <f t="shared" si="150"/>
        <v>0</v>
      </c>
      <c r="CH31" s="265">
        <f t="shared" si="151"/>
        <v>0</v>
      </c>
      <c r="CI31" s="266">
        <f t="shared" si="152"/>
        <v>0</v>
      </c>
      <c r="CJ31" s="265">
        <f t="shared" si="153"/>
        <v>0</v>
      </c>
      <c r="CK31" s="266">
        <f t="shared" si="154"/>
        <v>0</v>
      </c>
      <c r="CL31" s="265">
        <f t="shared" si="155"/>
        <v>0</v>
      </c>
      <c r="CM31" s="265">
        <f t="shared" si="156"/>
        <v>0</v>
      </c>
      <c r="CN31" s="265" t="s">
        <v>189</v>
      </c>
      <c r="CO31" s="265"/>
      <c r="CP31" s="265" t="s">
        <v>212</v>
      </c>
      <c r="CQ31" s="267">
        <f t="shared" si="157"/>
        <v>0</v>
      </c>
      <c r="CR31" s="267">
        <f t="shared" si="158"/>
        <v>0</v>
      </c>
      <c r="CS31" s="267">
        <f t="shared" si="159"/>
        <v>0</v>
      </c>
      <c r="CT31" s="267">
        <f t="shared" si="160"/>
        <v>0</v>
      </c>
      <c r="CU31" s="267">
        <f t="shared" si="161"/>
        <v>0</v>
      </c>
      <c r="CV31" s="267">
        <f t="shared" si="162"/>
        <v>0</v>
      </c>
      <c r="CW31" s="267">
        <f t="shared" si="163"/>
        <v>0</v>
      </c>
      <c r="CX31" s="267">
        <f t="shared" si="164"/>
        <v>0</v>
      </c>
      <c r="CY31" s="267">
        <f t="shared" si="165"/>
        <v>0</v>
      </c>
      <c r="CZ31" s="267">
        <f t="shared" si="166"/>
        <v>0</v>
      </c>
      <c r="DA31" s="267">
        <f t="shared" si="167"/>
        <v>0</v>
      </c>
      <c r="DB31" s="267">
        <f t="shared" si="168"/>
        <v>0</v>
      </c>
      <c r="DC31" s="265">
        <v>17</v>
      </c>
      <c r="DD31" s="267">
        <f t="shared" si="169"/>
        <v>-17</v>
      </c>
      <c r="DE31" s="267">
        <f t="shared" si="170"/>
        <v>54000000</v>
      </c>
      <c r="DF31" s="267">
        <f t="shared" si="171"/>
        <v>0</v>
      </c>
      <c r="DG31" s="267">
        <f t="shared" si="172"/>
        <v>0</v>
      </c>
      <c r="DH31" s="265">
        <v>17</v>
      </c>
      <c r="DI31" s="267">
        <f t="shared" si="173"/>
        <v>0</v>
      </c>
      <c r="DJ31" s="267">
        <f t="shared" si="174"/>
        <v>0</v>
      </c>
      <c r="DK31" s="269"/>
      <c r="DL31" s="265">
        <f>DL29</f>
        <v>0</v>
      </c>
      <c r="DM31" s="265">
        <f>DM29</f>
        <v>0</v>
      </c>
      <c r="DN31" s="269"/>
    </row>
    <row r="32" spans="1:118" hidden="1" x14ac:dyDescent="0.35">
      <c r="A32" s="68">
        <v>25</v>
      </c>
      <c r="B32" s="69"/>
      <c r="C32" s="70"/>
      <c r="D32" s="70"/>
      <c r="E32" s="71"/>
      <c r="F32" s="279"/>
      <c r="G32" s="56" t="str">
        <f t="shared" si="0"/>
        <v>N</v>
      </c>
      <c r="H32" s="277"/>
      <c r="I32" s="58"/>
      <c r="J32" s="54"/>
      <c r="K32" s="59"/>
      <c r="L32" s="180"/>
      <c r="M32" s="182">
        <f>'Jan-Nov'!S31</f>
        <v>0</v>
      </c>
      <c r="N32" s="86">
        <f>'Jan-Nov'!U31</f>
        <v>0</v>
      </c>
      <c r="O32" s="87">
        <f>'Jan-Nov'!Z30</f>
        <v>0</v>
      </c>
      <c r="P32" s="87">
        <f>'Jan-Nov'!AB30</f>
        <v>0</v>
      </c>
      <c r="Q32" s="85">
        <f>'Jan-Nov'!AD30</f>
        <v>0</v>
      </c>
      <c r="R32" s="88">
        <f>'Jan-Nov'!AI30</f>
        <v>0</v>
      </c>
      <c r="S32" s="89">
        <f>'Jan-Nov'!AK30</f>
        <v>0</v>
      </c>
      <c r="T32" s="87">
        <f>'Jan-Nov'!AP30</f>
        <v>0</v>
      </c>
      <c r="U32" s="87">
        <f>'Jan-Nov'!AR30</f>
        <v>0</v>
      </c>
      <c r="V32" s="89">
        <f>'Jan-Nov'!AW30</f>
        <v>0</v>
      </c>
      <c r="W32" s="89">
        <f>'Jan-Nov'!AY30</f>
        <v>0</v>
      </c>
      <c r="X32" s="89">
        <f>'Jan-Nov'!BD30</f>
        <v>0</v>
      </c>
      <c r="Y32" s="89"/>
      <c r="Z32" s="86"/>
      <c r="AA32" s="86">
        <f>'Jan-Nov'!BM30</f>
        <v>0</v>
      </c>
      <c r="AB32" s="87">
        <f>'Jan-Nov'!BR30</f>
        <v>0</v>
      </c>
      <c r="AC32" s="87">
        <f>'Jan-Nov'!BT30</f>
        <v>0</v>
      </c>
      <c r="AD32" s="85">
        <f>'Jan-Nov'!BY30</f>
        <v>0</v>
      </c>
      <c r="AE32" s="88">
        <f>'Jan-Nov'!CA30</f>
        <v>0</v>
      </c>
      <c r="AF32" s="89">
        <f>'Jan-Nov'!CF30</f>
        <v>0</v>
      </c>
      <c r="AG32" s="87">
        <f>'Jan-Nov'!CH30</f>
        <v>0</v>
      </c>
      <c r="AH32" s="85">
        <f>'Jan-Nov'!CM30</f>
        <v>0</v>
      </c>
      <c r="AI32" s="126">
        <f t="shared" si="126"/>
        <v>0</v>
      </c>
      <c r="AJ32" s="90">
        <f t="shared" si="127"/>
        <v>0</v>
      </c>
      <c r="AK32" s="123"/>
      <c r="AL32" s="126">
        <f>'Data Gaji'!LG30</f>
        <v>0</v>
      </c>
      <c r="AM32" s="128">
        <f>'Jan-Nov'!CQ30</f>
        <v>0</v>
      </c>
      <c r="AN32" s="125">
        <f t="shared" si="128"/>
        <v>0</v>
      </c>
      <c r="AO32" s="77">
        <f t="shared" si="129"/>
        <v>0</v>
      </c>
      <c r="AP32" s="77">
        <f>'Data Gaji'!LO30</f>
        <v>0</v>
      </c>
      <c r="AQ32" s="77">
        <f>'Data Gaji'!LF30*12</f>
        <v>0</v>
      </c>
      <c r="AR32" s="77"/>
      <c r="AS32" s="77"/>
      <c r="AT32" s="75">
        <f t="shared" ref="AT32" si="180">SUM(AN32:AS32)</f>
        <v>0</v>
      </c>
      <c r="AU32" s="82"/>
      <c r="AV32" s="84">
        <f t="shared" si="131"/>
        <v>0</v>
      </c>
      <c r="AW32" s="76">
        <f t="shared" si="132"/>
        <v>0</v>
      </c>
      <c r="AX32" s="77">
        <f t="shared" si="133"/>
        <v>0</v>
      </c>
      <c r="AY32" s="77">
        <f t="shared" si="134"/>
        <v>0</v>
      </c>
      <c r="AZ32" s="77">
        <f t="shared" si="135"/>
        <v>0</v>
      </c>
      <c r="BA32" s="77">
        <f t="shared" si="136"/>
        <v>0</v>
      </c>
      <c r="BB32" s="74">
        <f t="shared" si="137"/>
        <v>0</v>
      </c>
      <c r="BC32" s="78">
        <f t="shared" si="138"/>
        <v>0</v>
      </c>
      <c r="BD32" s="79">
        <f t="shared" si="139"/>
        <v>54000000</v>
      </c>
      <c r="BE32" s="80">
        <f t="shared" si="140"/>
        <v>0</v>
      </c>
      <c r="BF32" s="81">
        <f t="shared" si="141"/>
        <v>0</v>
      </c>
      <c r="BG32" s="157">
        <f t="shared" si="142"/>
        <v>0</v>
      </c>
      <c r="BH32" s="148">
        <f t="shared" si="143"/>
        <v>0</v>
      </c>
      <c r="BI32" s="83">
        <f t="shared" si="144"/>
        <v>0</v>
      </c>
      <c r="BK32" s="159">
        <f t="shared" si="175"/>
        <v>0</v>
      </c>
      <c r="BL32" s="146">
        <f t="shared" si="145"/>
        <v>0</v>
      </c>
      <c r="BM32" s="145"/>
      <c r="BN32" s="160">
        <f t="shared" si="146"/>
        <v>0</v>
      </c>
      <c r="BP32" s="262">
        <f t="shared" si="2"/>
        <v>12</v>
      </c>
      <c r="BQ32" s="250">
        <f t="shared" si="21"/>
        <v>2024</v>
      </c>
      <c r="BR32" s="250">
        <f t="shared" si="3"/>
        <v>0</v>
      </c>
      <c r="BS32" s="250">
        <f t="shared" si="147"/>
        <v>0</v>
      </c>
      <c r="BT32" s="250">
        <f t="shared" si="148"/>
        <v>0</v>
      </c>
      <c r="BU32" s="250" t="s">
        <v>155</v>
      </c>
      <c r="BV32" s="263">
        <f t="shared" si="24"/>
        <v>0</v>
      </c>
      <c r="BW32" s="264">
        <f t="shared" si="25"/>
        <v>0</v>
      </c>
      <c r="BX32" s="250"/>
      <c r="BY32" s="247"/>
      <c r="BZ32" s="269"/>
      <c r="CA32" s="269"/>
      <c r="CB32" s="269"/>
      <c r="CC32" s="269"/>
      <c r="CD32" s="269"/>
      <c r="CE32" s="269"/>
      <c r="CF32" s="265">
        <f t="shared" si="149"/>
        <v>0</v>
      </c>
      <c r="CG32" s="266">
        <f t="shared" si="150"/>
        <v>0</v>
      </c>
      <c r="CH32" s="265">
        <f t="shared" si="151"/>
        <v>0</v>
      </c>
      <c r="CI32" s="266">
        <f t="shared" si="152"/>
        <v>0</v>
      </c>
      <c r="CJ32" s="265">
        <f t="shared" si="153"/>
        <v>0</v>
      </c>
      <c r="CK32" s="266">
        <f t="shared" si="154"/>
        <v>0</v>
      </c>
      <c r="CL32" s="265">
        <f t="shared" si="155"/>
        <v>0</v>
      </c>
      <c r="CM32" s="265">
        <f t="shared" si="156"/>
        <v>0</v>
      </c>
      <c r="CN32" s="265" t="s">
        <v>189</v>
      </c>
      <c r="CO32" s="265"/>
      <c r="CP32" s="265" t="s">
        <v>212</v>
      </c>
      <c r="CQ32" s="267">
        <f t="shared" si="157"/>
        <v>0</v>
      </c>
      <c r="CR32" s="267">
        <f t="shared" si="158"/>
        <v>0</v>
      </c>
      <c r="CS32" s="267">
        <f t="shared" si="159"/>
        <v>0</v>
      </c>
      <c r="CT32" s="267">
        <f t="shared" si="160"/>
        <v>0</v>
      </c>
      <c r="CU32" s="267">
        <f t="shared" si="161"/>
        <v>0</v>
      </c>
      <c r="CV32" s="267">
        <f t="shared" si="162"/>
        <v>0</v>
      </c>
      <c r="CW32" s="267">
        <f t="shared" si="163"/>
        <v>0</v>
      </c>
      <c r="CX32" s="267">
        <f t="shared" si="164"/>
        <v>0</v>
      </c>
      <c r="CY32" s="267">
        <f t="shared" si="165"/>
        <v>0</v>
      </c>
      <c r="CZ32" s="267">
        <f t="shared" si="166"/>
        <v>0</v>
      </c>
      <c r="DA32" s="267">
        <f t="shared" si="167"/>
        <v>0</v>
      </c>
      <c r="DB32" s="267">
        <f t="shared" si="168"/>
        <v>0</v>
      </c>
      <c r="DC32" s="265">
        <v>17</v>
      </c>
      <c r="DD32" s="267">
        <f t="shared" si="169"/>
        <v>-17</v>
      </c>
      <c r="DE32" s="267">
        <f t="shared" si="170"/>
        <v>54000000</v>
      </c>
      <c r="DF32" s="267">
        <f t="shared" si="171"/>
        <v>0</v>
      </c>
      <c r="DG32" s="267">
        <f t="shared" si="172"/>
        <v>0</v>
      </c>
      <c r="DH32" s="265">
        <v>17</v>
      </c>
      <c r="DI32" s="267">
        <f t="shared" si="173"/>
        <v>0</v>
      </c>
      <c r="DJ32" s="267">
        <f t="shared" si="174"/>
        <v>0</v>
      </c>
      <c r="DK32" s="269"/>
      <c r="DL32" s="265">
        <f>DL30</f>
        <v>0</v>
      </c>
      <c r="DM32" s="265">
        <f>DM30</f>
        <v>0</v>
      </c>
      <c r="DN32" s="269"/>
    </row>
    <row r="33" spans="1:118" hidden="1" x14ac:dyDescent="0.35">
      <c r="A33" s="68">
        <v>26</v>
      </c>
      <c r="B33" s="69"/>
      <c r="C33" s="70"/>
      <c r="D33" s="70"/>
      <c r="E33" s="71"/>
      <c r="F33" s="279"/>
      <c r="G33" s="56" t="str">
        <f t="shared" si="0"/>
        <v>N</v>
      </c>
      <c r="H33" s="277"/>
      <c r="I33" s="58"/>
      <c r="J33" s="54"/>
      <c r="K33" s="59"/>
      <c r="L33" s="180"/>
      <c r="M33" s="182">
        <f>'Jan-Nov'!S32</f>
        <v>0</v>
      </c>
      <c r="N33" s="86">
        <f>'Jan-Nov'!U32</f>
        <v>0</v>
      </c>
      <c r="O33" s="87">
        <f>'Jan-Nov'!Z31</f>
        <v>0</v>
      </c>
      <c r="P33" s="87">
        <f>'Jan-Nov'!AB31</f>
        <v>0</v>
      </c>
      <c r="Q33" s="85">
        <f>'Jan-Nov'!AD31</f>
        <v>0</v>
      </c>
      <c r="R33" s="88">
        <f>'Jan-Nov'!AI31</f>
        <v>0</v>
      </c>
      <c r="S33" s="89">
        <f>'Jan-Nov'!AK31</f>
        <v>0</v>
      </c>
      <c r="T33" s="87">
        <f>'Jan-Nov'!AP31</f>
        <v>0</v>
      </c>
      <c r="U33" s="87">
        <f>'Jan-Nov'!AR31</f>
        <v>0</v>
      </c>
      <c r="V33" s="89">
        <f>'Jan-Nov'!AW31</f>
        <v>0</v>
      </c>
      <c r="W33" s="89">
        <f>'Jan-Nov'!AY31</f>
        <v>0</v>
      </c>
      <c r="X33" s="89">
        <f>'Jan-Nov'!BD31</f>
        <v>0</v>
      </c>
      <c r="Y33" s="89">
        <f>'Jan-Nov'!BF31</f>
        <v>0</v>
      </c>
      <c r="Z33" s="86">
        <f>'Jan-Nov'!BK31</f>
        <v>0</v>
      </c>
      <c r="AA33" s="86">
        <f>'Jan-Nov'!BM31</f>
        <v>0</v>
      </c>
      <c r="AB33" s="87">
        <f>'Jan-Nov'!BR31</f>
        <v>0</v>
      </c>
      <c r="AC33" s="87">
        <f>'Jan-Nov'!BT31</f>
        <v>0</v>
      </c>
      <c r="AD33" s="85">
        <f>'Jan-Nov'!BY31</f>
        <v>0</v>
      </c>
      <c r="AE33" s="88">
        <f>'Jan-Nov'!CA31</f>
        <v>0</v>
      </c>
      <c r="AF33" s="89">
        <f>'Jan-Nov'!CF31</f>
        <v>0</v>
      </c>
      <c r="AG33" s="87">
        <f>'Jan-Nov'!CH31</f>
        <v>0</v>
      </c>
      <c r="AH33" s="85">
        <f>'Jan-Nov'!CM31</f>
        <v>0</v>
      </c>
      <c r="AI33" s="126">
        <f t="shared" si="114"/>
        <v>0</v>
      </c>
      <c r="AJ33" s="90">
        <f t="shared" ref="AJ33:AJ38" si="181">N33+P33+R33+T33+V33+X33+Z33+AB33+AD33+AF33+AH33</f>
        <v>0</v>
      </c>
      <c r="AK33" s="123"/>
      <c r="AL33" s="126">
        <f>'Data Gaji'!LG31</f>
        <v>0</v>
      </c>
      <c r="AM33" s="128">
        <f>'Jan-Nov'!CQ31</f>
        <v>0</v>
      </c>
      <c r="AN33" s="125">
        <f t="shared" si="115"/>
        <v>0</v>
      </c>
      <c r="AO33" s="77">
        <f t="shared" si="116"/>
        <v>0</v>
      </c>
      <c r="AP33" s="77">
        <f>'Data Gaji'!LO31</f>
        <v>0</v>
      </c>
      <c r="AQ33" s="77">
        <f>'Data Gaji'!LF31*12</f>
        <v>0</v>
      </c>
      <c r="AR33" s="77"/>
      <c r="AS33" s="77"/>
      <c r="AT33" s="75">
        <f t="shared" si="117"/>
        <v>0</v>
      </c>
      <c r="AU33" s="82"/>
      <c r="AV33" s="84">
        <f t="shared" si="118"/>
        <v>0</v>
      </c>
      <c r="AW33" s="76">
        <f t="shared" si="119"/>
        <v>0</v>
      </c>
      <c r="AX33" s="77">
        <f t="shared" si="120"/>
        <v>0</v>
      </c>
      <c r="AY33" s="77">
        <f t="shared" si="121"/>
        <v>0</v>
      </c>
      <c r="AZ33" s="77">
        <f t="shared" si="122"/>
        <v>0</v>
      </c>
      <c r="BA33" s="77">
        <f t="shared" si="123"/>
        <v>0</v>
      </c>
      <c r="BB33" s="74">
        <f t="shared" si="124"/>
        <v>0</v>
      </c>
      <c r="BC33" s="78">
        <f t="shared" si="125"/>
        <v>0</v>
      </c>
      <c r="BD33" s="79">
        <f t="shared" si="1"/>
        <v>54000000</v>
      </c>
      <c r="BE33" s="80">
        <f t="shared" si="13"/>
        <v>0</v>
      </c>
      <c r="BF33" s="81">
        <f t="shared" si="14"/>
        <v>0</v>
      </c>
      <c r="BG33" s="157">
        <f t="shared" si="15"/>
        <v>0</v>
      </c>
      <c r="BH33" s="148">
        <f t="shared" si="16"/>
        <v>0</v>
      </c>
      <c r="BI33" s="83">
        <f t="shared" si="17"/>
        <v>0</v>
      </c>
      <c r="BK33" s="159">
        <f>INT((+BE33-AO33)/1000)*1000</f>
        <v>0</v>
      </c>
      <c r="BL33" s="146">
        <f t="shared" si="19"/>
        <v>0</v>
      </c>
      <c r="BM33" s="145"/>
      <c r="BN33" s="160">
        <f t="shared" si="20"/>
        <v>0</v>
      </c>
      <c r="BP33" s="262">
        <f t="shared" si="2"/>
        <v>12</v>
      </c>
      <c r="BQ33" s="250">
        <f t="shared" si="21"/>
        <v>2024</v>
      </c>
      <c r="BR33" s="250">
        <f t="shared" si="3"/>
        <v>0</v>
      </c>
      <c r="BS33" s="250">
        <f t="shared" si="22"/>
        <v>0</v>
      </c>
      <c r="BT33" s="250">
        <f t="shared" si="23"/>
        <v>0</v>
      </c>
      <c r="BU33" s="250" t="s">
        <v>151</v>
      </c>
      <c r="BV33" s="263">
        <f t="shared" ref="BV33:BV38" si="182">ROUND(AL33,0)</f>
        <v>0</v>
      </c>
      <c r="BW33" s="264">
        <f t="shared" ref="BW33:BW38" si="183">ROUND(BI33,0)</f>
        <v>0</v>
      </c>
      <c r="BX33" s="250"/>
      <c r="BY33" s="247"/>
      <c r="BZ33" s="269"/>
      <c r="CA33" s="269"/>
      <c r="CB33" s="269"/>
      <c r="CC33" s="269"/>
      <c r="CD33" s="269"/>
      <c r="CE33" s="269"/>
      <c r="CF33" s="265">
        <f t="shared" si="26"/>
        <v>0</v>
      </c>
      <c r="CG33" s="266">
        <f t="shared" si="54"/>
        <v>0</v>
      </c>
      <c r="CH33" s="265">
        <f t="shared" si="27"/>
        <v>0</v>
      </c>
      <c r="CI33" s="266">
        <f t="shared" si="28"/>
        <v>0</v>
      </c>
      <c r="CJ33" s="265">
        <f t="shared" si="29"/>
        <v>0</v>
      </c>
      <c r="CK33" s="266">
        <f t="shared" si="30"/>
        <v>0</v>
      </c>
      <c r="CL33" s="265">
        <f t="shared" si="31"/>
        <v>0</v>
      </c>
      <c r="CM33" s="265">
        <f t="shared" si="32"/>
        <v>0</v>
      </c>
      <c r="CN33" s="265" t="s">
        <v>189</v>
      </c>
      <c r="CO33" s="265"/>
      <c r="CP33" s="265" t="s">
        <v>208</v>
      </c>
      <c r="CQ33" s="267">
        <f t="shared" si="33"/>
        <v>0</v>
      </c>
      <c r="CR33" s="267">
        <f t="shared" si="34"/>
        <v>0</v>
      </c>
      <c r="CS33" s="267">
        <f t="shared" si="35"/>
        <v>0</v>
      </c>
      <c r="CT33" s="267">
        <f t="shared" si="36"/>
        <v>0</v>
      </c>
      <c r="CU33" s="267">
        <f t="shared" si="37"/>
        <v>0</v>
      </c>
      <c r="CV33" s="267">
        <f t="shared" si="38"/>
        <v>0</v>
      </c>
      <c r="CW33" s="267">
        <f t="shared" si="39"/>
        <v>0</v>
      </c>
      <c r="CX33" s="267">
        <f t="shared" si="40"/>
        <v>0</v>
      </c>
      <c r="CY33" s="267">
        <f t="shared" si="41"/>
        <v>0</v>
      </c>
      <c r="CZ33" s="267">
        <f t="shared" si="42"/>
        <v>0</v>
      </c>
      <c r="DA33" s="267">
        <f t="shared" si="43"/>
        <v>0</v>
      </c>
      <c r="DB33" s="267">
        <f t="shared" si="44"/>
        <v>0</v>
      </c>
      <c r="DC33" s="265">
        <v>13</v>
      </c>
      <c r="DD33" s="267">
        <f t="shared" si="45"/>
        <v>-13</v>
      </c>
      <c r="DE33" s="267">
        <f t="shared" si="46"/>
        <v>54000000</v>
      </c>
      <c r="DF33" s="267">
        <f t="shared" si="47"/>
        <v>0</v>
      </c>
      <c r="DG33" s="267">
        <f t="shared" si="48"/>
        <v>0</v>
      </c>
      <c r="DH33" s="265">
        <v>13</v>
      </c>
      <c r="DI33" s="267">
        <f t="shared" si="49"/>
        <v>0</v>
      </c>
      <c r="DJ33" s="267">
        <f t="shared" si="50"/>
        <v>0</v>
      </c>
      <c r="DK33" s="269"/>
      <c r="DL33" s="265">
        <f>DL26</f>
        <v>0</v>
      </c>
      <c r="DM33" s="265">
        <f>DM26</f>
        <v>0</v>
      </c>
      <c r="DN33" s="269"/>
    </row>
    <row r="34" spans="1:118" hidden="1" x14ac:dyDescent="0.35">
      <c r="A34" s="68">
        <v>27</v>
      </c>
      <c r="B34" s="69"/>
      <c r="C34" s="70"/>
      <c r="D34" s="70"/>
      <c r="E34" s="71"/>
      <c r="F34" s="279"/>
      <c r="G34" s="56" t="str">
        <f t="shared" si="0"/>
        <v>N</v>
      </c>
      <c r="H34" s="277"/>
      <c r="I34" s="58"/>
      <c r="J34" s="54"/>
      <c r="K34" s="59"/>
      <c r="L34" s="180"/>
      <c r="M34" s="182">
        <f>'Jan-Nov'!S33</f>
        <v>0</v>
      </c>
      <c r="N34" s="86">
        <f>'Jan-Nov'!U33</f>
        <v>0</v>
      </c>
      <c r="O34" s="87">
        <f>'Jan-Nov'!Z32</f>
        <v>0</v>
      </c>
      <c r="P34" s="87">
        <f>'Jan-Nov'!AB32</f>
        <v>0</v>
      </c>
      <c r="Q34" s="85">
        <f>'Jan-Nov'!AD32</f>
        <v>0</v>
      </c>
      <c r="R34" s="88">
        <f>'Jan-Nov'!AI32</f>
        <v>0</v>
      </c>
      <c r="S34" s="89">
        <f>'Jan-Nov'!AK32</f>
        <v>0</v>
      </c>
      <c r="T34" s="87">
        <f>'Jan-Nov'!AP32</f>
        <v>0</v>
      </c>
      <c r="U34" s="87">
        <f>'Jan-Nov'!AR32</f>
        <v>0</v>
      </c>
      <c r="V34" s="89">
        <f>'Jan-Nov'!AW32</f>
        <v>0</v>
      </c>
      <c r="W34" s="89">
        <f>'Jan-Nov'!AY32</f>
        <v>0</v>
      </c>
      <c r="X34" s="89">
        <f>'Jan-Nov'!BD32</f>
        <v>0</v>
      </c>
      <c r="Y34" s="89">
        <f>'Jan-Nov'!BF32</f>
        <v>0</v>
      </c>
      <c r="Z34" s="86">
        <f>'Jan-Nov'!BK32</f>
        <v>0</v>
      </c>
      <c r="AA34" s="86">
        <f>'Jan-Nov'!BM32</f>
        <v>0</v>
      </c>
      <c r="AB34" s="87">
        <f>'Jan-Nov'!BR32</f>
        <v>0</v>
      </c>
      <c r="AC34" s="87">
        <f>'Jan-Nov'!BT32</f>
        <v>0</v>
      </c>
      <c r="AD34" s="85">
        <f>'Jan-Nov'!BY32</f>
        <v>0</v>
      </c>
      <c r="AE34" s="88">
        <f>'Jan-Nov'!CA32</f>
        <v>0</v>
      </c>
      <c r="AF34" s="89">
        <f>'Jan-Nov'!CF32</f>
        <v>0</v>
      </c>
      <c r="AG34" s="87">
        <f>'Jan-Nov'!CH32</f>
        <v>0</v>
      </c>
      <c r="AH34" s="85">
        <f>'Jan-Nov'!CM32</f>
        <v>0</v>
      </c>
      <c r="AI34" s="126">
        <f t="shared" si="114"/>
        <v>0</v>
      </c>
      <c r="AJ34" s="90">
        <f t="shared" si="181"/>
        <v>0</v>
      </c>
      <c r="AK34" s="123"/>
      <c r="AL34" s="126">
        <f>'Data Gaji'!LG32</f>
        <v>0</v>
      </c>
      <c r="AM34" s="128">
        <f>'Jan-Nov'!CQ32</f>
        <v>0</v>
      </c>
      <c r="AN34" s="125">
        <f t="shared" si="115"/>
        <v>0</v>
      </c>
      <c r="AO34" s="77">
        <f t="shared" si="116"/>
        <v>0</v>
      </c>
      <c r="AP34" s="77">
        <f>'Data Gaji'!LO32</f>
        <v>0</v>
      </c>
      <c r="AQ34" s="77">
        <f>'Data Gaji'!LF32*12</f>
        <v>0</v>
      </c>
      <c r="AR34" s="77"/>
      <c r="AS34" s="77"/>
      <c r="AT34" s="75">
        <f t="shared" si="117"/>
        <v>0</v>
      </c>
      <c r="AU34" s="82"/>
      <c r="AV34" s="84">
        <f t="shared" si="118"/>
        <v>0</v>
      </c>
      <c r="AW34" s="76">
        <f t="shared" si="119"/>
        <v>0</v>
      </c>
      <c r="AX34" s="77">
        <f t="shared" si="120"/>
        <v>0</v>
      </c>
      <c r="AY34" s="77">
        <f t="shared" si="121"/>
        <v>0</v>
      </c>
      <c r="AZ34" s="77">
        <f t="shared" si="122"/>
        <v>0</v>
      </c>
      <c r="BA34" s="77">
        <f t="shared" si="123"/>
        <v>0</v>
      </c>
      <c r="BB34" s="74">
        <f t="shared" si="124"/>
        <v>0</v>
      </c>
      <c r="BC34" s="78">
        <f t="shared" si="125"/>
        <v>0</v>
      </c>
      <c r="BD34" s="79">
        <f t="shared" si="1"/>
        <v>54000000</v>
      </c>
      <c r="BE34" s="80">
        <f t="shared" si="13"/>
        <v>0</v>
      </c>
      <c r="BF34" s="81">
        <f t="shared" si="14"/>
        <v>0</v>
      </c>
      <c r="BG34" s="157">
        <f t="shared" si="15"/>
        <v>0</v>
      </c>
      <c r="BH34" s="148">
        <f t="shared" si="16"/>
        <v>0</v>
      </c>
      <c r="BI34" s="83">
        <f t="shared" si="17"/>
        <v>0</v>
      </c>
      <c r="BK34" s="159">
        <f t="shared" si="18"/>
        <v>0</v>
      </c>
      <c r="BL34" s="146">
        <f t="shared" si="19"/>
        <v>0</v>
      </c>
      <c r="BM34" s="145"/>
      <c r="BN34" s="160">
        <f t="shared" si="20"/>
        <v>0</v>
      </c>
      <c r="BP34" s="262">
        <f t="shared" si="2"/>
        <v>12</v>
      </c>
      <c r="BQ34" s="250">
        <f t="shared" si="21"/>
        <v>2024</v>
      </c>
      <c r="BR34" s="250">
        <f t="shared" si="3"/>
        <v>0</v>
      </c>
      <c r="BS34" s="250">
        <f t="shared" si="22"/>
        <v>0</v>
      </c>
      <c r="BT34" s="250">
        <f t="shared" si="23"/>
        <v>0</v>
      </c>
      <c r="BU34" s="250" t="s">
        <v>152</v>
      </c>
      <c r="BV34" s="263">
        <f t="shared" si="182"/>
        <v>0</v>
      </c>
      <c r="BW34" s="264">
        <f t="shared" si="183"/>
        <v>0</v>
      </c>
      <c r="BX34" s="250"/>
      <c r="BY34" s="247"/>
      <c r="BZ34" s="269"/>
      <c r="CA34" s="269"/>
      <c r="CB34" s="269"/>
      <c r="CC34" s="269"/>
      <c r="CD34" s="269"/>
      <c r="CE34" s="269"/>
      <c r="CF34" s="265">
        <f t="shared" si="26"/>
        <v>0</v>
      </c>
      <c r="CG34" s="266">
        <f t="shared" si="54"/>
        <v>0</v>
      </c>
      <c r="CH34" s="265">
        <f t="shared" si="27"/>
        <v>0</v>
      </c>
      <c r="CI34" s="266">
        <f t="shared" si="28"/>
        <v>0</v>
      </c>
      <c r="CJ34" s="265">
        <f t="shared" si="29"/>
        <v>0</v>
      </c>
      <c r="CK34" s="266">
        <f t="shared" si="30"/>
        <v>0</v>
      </c>
      <c r="CL34" s="265">
        <f t="shared" si="31"/>
        <v>0</v>
      </c>
      <c r="CM34" s="265">
        <f t="shared" si="32"/>
        <v>0</v>
      </c>
      <c r="CN34" s="265" t="s">
        <v>189</v>
      </c>
      <c r="CO34" s="265"/>
      <c r="CP34" s="265" t="s">
        <v>209</v>
      </c>
      <c r="CQ34" s="267">
        <f t="shared" si="33"/>
        <v>0</v>
      </c>
      <c r="CR34" s="267">
        <f t="shared" si="34"/>
        <v>0</v>
      </c>
      <c r="CS34" s="267">
        <f t="shared" si="35"/>
        <v>0</v>
      </c>
      <c r="CT34" s="267">
        <f t="shared" si="36"/>
        <v>0</v>
      </c>
      <c r="CU34" s="267">
        <f t="shared" si="37"/>
        <v>0</v>
      </c>
      <c r="CV34" s="267">
        <f t="shared" si="38"/>
        <v>0</v>
      </c>
      <c r="CW34" s="267">
        <f t="shared" si="39"/>
        <v>0</v>
      </c>
      <c r="CX34" s="267">
        <f t="shared" si="40"/>
        <v>0</v>
      </c>
      <c r="CY34" s="267">
        <f t="shared" si="41"/>
        <v>0</v>
      </c>
      <c r="CZ34" s="267">
        <f t="shared" si="42"/>
        <v>0</v>
      </c>
      <c r="DA34" s="267">
        <f t="shared" si="43"/>
        <v>0</v>
      </c>
      <c r="DB34" s="267">
        <f t="shared" si="44"/>
        <v>0</v>
      </c>
      <c r="DC34" s="265">
        <v>14</v>
      </c>
      <c r="DD34" s="267">
        <f t="shared" si="45"/>
        <v>-14</v>
      </c>
      <c r="DE34" s="267">
        <f t="shared" si="46"/>
        <v>54000000</v>
      </c>
      <c r="DF34" s="267">
        <f t="shared" si="47"/>
        <v>0</v>
      </c>
      <c r="DG34" s="267">
        <f t="shared" si="48"/>
        <v>0</v>
      </c>
      <c r="DH34" s="265">
        <v>14</v>
      </c>
      <c r="DI34" s="267">
        <f t="shared" si="49"/>
        <v>0</v>
      </c>
      <c r="DJ34" s="267">
        <f t="shared" si="50"/>
        <v>0</v>
      </c>
      <c r="DK34" s="269"/>
      <c r="DL34" s="265">
        <f t="shared" si="53"/>
        <v>0</v>
      </c>
      <c r="DM34" s="265">
        <f t="shared" si="53"/>
        <v>0</v>
      </c>
      <c r="DN34" s="269"/>
    </row>
    <row r="35" spans="1:118" hidden="1" x14ac:dyDescent="0.35">
      <c r="A35" s="68">
        <v>28</v>
      </c>
      <c r="B35" s="69"/>
      <c r="C35" s="70"/>
      <c r="D35" s="70"/>
      <c r="E35" s="71"/>
      <c r="F35" s="280"/>
      <c r="G35" s="56" t="str">
        <f t="shared" si="0"/>
        <v>N</v>
      </c>
      <c r="H35" s="278"/>
      <c r="I35" s="58"/>
      <c r="J35" s="54"/>
      <c r="K35" s="59"/>
      <c r="L35" s="180"/>
      <c r="M35" s="182">
        <f>'Jan-Nov'!S34</f>
        <v>0</v>
      </c>
      <c r="N35" s="86">
        <f>'Jan-Nov'!U34</f>
        <v>0</v>
      </c>
      <c r="O35" s="87">
        <f>'Jan-Nov'!Z33</f>
        <v>0</v>
      </c>
      <c r="P35" s="87">
        <f>'Jan-Nov'!AB33</f>
        <v>0</v>
      </c>
      <c r="Q35" s="85">
        <f>'Jan-Nov'!AD33</f>
        <v>0</v>
      </c>
      <c r="R35" s="88">
        <f>'Jan-Nov'!AI33</f>
        <v>0</v>
      </c>
      <c r="S35" s="89">
        <f>'Jan-Nov'!AK33</f>
        <v>0</v>
      </c>
      <c r="T35" s="87">
        <f>'Jan-Nov'!AP33</f>
        <v>0</v>
      </c>
      <c r="U35" s="87">
        <f>'Jan-Nov'!AR33</f>
        <v>0</v>
      </c>
      <c r="V35" s="89">
        <f>'Jan-Nov'!AW33</f>
        <v>0</v>
      </c>
      <c r="W35" s="89">
        <f>'Jan-Nov'!AY33</f>
        <v>0</v>
      </c>
      <c r="X35" s="89">
        <f>'Jan-Nov'!BD33</f>
        <v>0</v>
      </c>
      <c r="Y35" s="89">
        <f>'Jan-Nov'!BF33</f>
        <v>0</v>
      </c>
      <c r="Z35" s="86">
        <f>'Jan-Nov'!BK33</f>
        <v>0</v>
      </c>
      <c r="AA35" s="86">
        <f>'Jan-Nov'!BM33</f>
        <v>0</v>
      </c>
      <c r="AB35" s="87">
        <f>'Jan-Nov'!BR33</f>
        <v>0</v>
      </c>
      <c r="AC35" s="87">
        <f>'Jan-Nov'!BT33</f>
        <v>0</v>
      </c>
      <c r="AD35" s="85">
        <f>'Jan-Nov'!BY33</f>
        <v>0</v>
      </c>
      <c r="AE35" s="88">
        <f>'Jan-Nov'!CA33</f>
        <v>0</v>
      </c>
      <c r="AF35" s="89">
        <f>'Jan-Nov'!CF33</f>
        <v>0</v>
      </c>
      <c r="AG35" s="87">
        <f>'Jan-Nov'!CH33</f>
        <v>0</v>
      </c>
      <c r="AH35" s="85">
        <f>'Jan-Nov'!CM33</f>
        <v>0</v>
      </c>
      <c r="AI35" s="126">
        <f t="shared" si="114"/>
        <v>0</v>
      </c>
      <c r="AJ35" s="90">
        <f t="shared" si="181"/>
        <v>0</v>
      </c>
      <c r="AK35" s="123"/>
      <c r="AL35" s="126">
        <f>'Data Gaji'!LG33</f>
        <v>0</v>
      </c>
      <c r="AM35" s="128">
        <f>'Jan-Nov'!CQ33</f>
        <v>0</v>
      </c>
      <c r="AN35" s="125">
        <f t="shared" si="115"/>
        <v>0</v>
      </c>
      <c r="AO35" s="77">
        <f t="shared" si="116"/>
        <v>0</v>
      </c>
      <c r="AP35" s="77">
        <f>'Data Gaji'!LO33</f>
        <v>0</v>
      </c>
      <c r="AQ35" s="77">
        <f>'Data Gaji'!LF33*12</f>
        <v>0</v>
      </c>
      <c r="AR35" s="77"/>
      <c r="AS35" s="77"/>
      <c r="AT35" s="75">
        <f t="shared" si="117"/>
        <v>0</v>
      </c>
      <c r="AU35" s="82"/>
      <c r="AV35" s="84">
        <f t="shared" si="118"/>
        <v>0</v>
      </c>
      <c r="AW35" s="76">
        <f t="shared" si="119"/>
        <v>0</v>
      </c>
      <c r="AX35" s="77">
        <f t="shared" si="120"/>
        <v>0</v>
      </c>
      <c r="AY35" s="77">
        <f t="shared" si="121"/>
        <v>0</v>
      </c>
      <c r="AZ35" s="77">
        <f t="shared" si="122"/>
        <v>0</v>
      </c>
      <c r="BA35" s="77">
        <f t="shared" si="123"/>
        <v>0</v>
      </c>
      <c r="BB35" s="74">
        <f t="shared" si="124"/>
        <v>0</v>
      </c>
      <c r="BC35" s="78">
        <f t="shared" si="125"/>
        <v>0</v>
      </c>
      <c r="BD35" s="79">
        <f t="shared" si="1"/>
        <v>54000000</v>
      </c>
      <c r="BE35" s="80">
        <f t="shared" si="13"/>
        <v>0</v>
      </c>
      <c r="BF35" s="81">
        <f t="shared" si="14"/>
        <v>0</v>
      </c>
      <c r="BG35" s="157">
        <f t="shared" si="15"/>
        <v>0</v>
      </c>
      <c r="BH35" s="148">
        <f t="shared" si="16"/>
        <v>0</v>
      </c>
      <c r="BI35" s="83">
        <f t="shared" si="17"/>
        <v>0</v>
      </c>
      <c r="BK35" s="159">
        <f t="shared" si="18"/>
        <v>0</v>
      </c>
      <c r="BL35" s="146">
        <f t="shared" si="19"/>
        <v>0</v>
      </c>
      <c r="BM35" s="145"/>
      <c r="BN35" s="160">
        <f t="shared" si="20"/>
        <v>0</v>
      </c>
      <c r="BP35" s="262">
        <f t="shared" si="2"/>
        <v>12</v>
      </c>
      <c r="BQ35" s="250">
        <f t="shared" si="21"/>
        <v>2024</v>
      </c>
      <c r="BR35" s="250">
        <f t="shared" si="3"/>
        <v>0</v>
      </c>
      <c r="BS35" s="250">
        <f t="shared" si="22"/>
        <v>0</v>
      </c>
      <c r="BT35" s="250">
        <f t="shared" si="23"/>
        <v>0</v>
      </c>
      <c r="BU35" s="250" t="s">
        <v>153</v>
      </c>
      <c r="BV35" s="263">
        <f t="shared" si="182"/>
        <v>0</v>
      </c>
      <c r="BW35" s="264">
        <f t="shared" si="183"/>
        <v>0</v>
      </c>
      <c r="BX35" s="250"/>
      <c r="BY35" s="247"/>
      <c r="BZ35" s="269"/>
      <c r="CA35" s="269"/>
      <c r="CB35" s="269"/>
      <c r="CC35" s="269"/>
      <c r="CD35" s="269"/>
      <c r="CE35" s="269"/>
      <c r="CF35" s="265">
        <f t="shared" si="26"/>
        <v>0</v>
      </c>
      <c r="CG35" s="266">
        <f t="shared" si="54"/>
        <v>0</v>
      </c>
      <c r="CH35" s="265">
        <f t="shared" si="27"/>
        <v>0</v>
      </c>
      <c r="CI35" s="266">
        <f t="shared" si="28"/>
        <v>0</v>
      </c>
      <c r="CJ35" s="265">
        <f t="shared" si="29"/>
        <v>0</v>
      </c>
      <c r="CK35" s="266">
        <f t="shared" si="30"/>
        <v>0</v>
      </c>
      <c r="CL35" s="265">
        <f t="shared" si="31"/>
        <v>0</v>
      </c>
      <c r="CM35" s="265">
        <f t="shared" si="32"/>
        <v>0</v>
      </c>
      <c r="CN35" s="265" t="s">
        <v>189</v>
      </c>
      <c r="CO35" s="265"/>
      <c r="CP35" s="265" t="s">
        <v>210</v>
      </c>
      <c r="CQ35" s="267">
        <f t="shared" si="33"/>
        <v>0</v>
      </c>
      <c r="CR35" s="267">
        <f t="shared" si="34"/>
        <v>0</v>
      </c>
      <c r="CS35" s="267">
        <f t="shared" si="35"/>
        <v>0</v>
      </c>
      <c r="CT35" s="267">
        <f t="shared" si="36"/>
        <v>0</v>
      </c>
      <c r="CU35" s="267">
        <f t="shared" si="37"/>
        <v>0</v>
      </c>
      <c r="CV35" s="267">
        <f t="shared" si="38"/>
        <v>0</v>
      </c>
      <c r="CW35" s="267">
        <f t="shared" si="39"/>
        <v>0</v>
      </c>
      <c r="CX35" s="267">
        <f t="shared" si="40"/>
        <v>0</v>
      </c>
      <c r="CY35" s="267">
        <f t="shared" si="41"/>
        <v>0</v>
      </c>
      <c r="CZ35" s="267">
        <f t="shared" si="42"/>
        <v>0</v>
      </c>
      <c r="DA35" s="267">
        <f t="shared" si="43"/>
        <v>0</v>
      </c>
      <c r="DB35" s="267">
        <f t="shared" si="44"/>
        <v>0</v>
      </c>
      <c r="DC35" s="265">
        <v>15</v>
      </c>
      <c r="DD35" s="267">
        <f t="shared" si="45"/>
        <v>-15</v>
      </c>
      <c r="DE35" s="267">
        <f t="shared" si="46"/>
        <v>54000000</v>
      </c>
      <c r="DF35" s="267">
        <f t="shared" si="47"/>
        <v>0</v>
      </c>
      <c r="DG35" s="267">
        <f t="shared" si="48"/>
        <v>0</v>
      </c>
      <c r="DH35" s="265">
        <v>15</v>
      </c>
      <c r="DI35" s="267">
        <f t="shared" si="49"/>
        <v>0</v>
      </c>
      <c r="DJ35" s="267">
        <f t="shared" si="50"/>
        <v>0</v>
      </c>
      <c r="DK35" s="269"/>
      <c r="DL35" s="265">
        <f t="shared" si="53"/>
        <v>0</v>
      </c>
      <c r="DM35" s="265">
        <f t="shared" si="53"/>
        <v>0</v>
      </c>
      <c r="DN35" s="269"/>
    </row>
    <row r="36" spans="1:118" hidden="1" x14ac:dyDescent="0.35">
      <c r="A36" s="68">
        <v>29</v>
      </c>
      <c r="B36" s="69"/>
      <c r="C36" s="70"/>
      <c r="D36" s="70"/>
      <c r="E36" s="71"/>
      <c r="F36" s="55"/>
      <c r="G36" s="56"/>
      <c r="H36" s="57"/>
      <c r="I36" s="58"/>
      <c r="J36" s="54"/>
      <c r="K36" s="59"/>
      <c r="L36" s="180"/>
      <c r="M36" s="182">
        <f>'Jan-Nov'!S35</f>
        <v>0</v>
      </c>
      <c r="N36" s="86">
        <f>'Jan-Nov'!U35</f>
        <v>0</v>
      </c>
      <c r="O36" s="87">
        <f>'Jan-Nov'!Z34</f>
        <v>0</v>
      </c>
      <c r="P36" s="87">
        <f>'Jan-Nov'!AB34</f>
        <v>0</v>
      </c>
      <c r="Q36" s="85">
        <f>'Jan-Nov'!AD34</f>
        <v>0</v>
      </c>
      <c r="R36" s="88">
        <f>'Jan-Nov'!AI34</f>
        <v>0</v>
      </c>
      <c r="S36" s="89">
        <f>'Jan-Nov'!AK34</f>
        <v>0</v>
      </c>
      <c r="T36" s="87">
        <f>'Jan-Nov'!AP34</f>
        <v>0</v>
      </c>
      <c r="U36" s="87">
        <f>'Jan-Nov'!AR34</f>
        <v>0</v>
      </c>
      <c r="V36" s="89">
        <f>'Jan-Nov'!AW34</f>
        <v>0</v>
      </c>
      <c r="W36" s="89">
        <f>'Jan-Nov'!AY34</f>
        <v>0</v>
      </c>
      <c r="X36" s="89">
        <f>'Jan-Nov'!BD34</f>
        <v>0</v>
      </c>
      <c r="Y36" s="89">
        <f>'Jan-Nov'!BF34</f>
        <v>0</v>
      </c>
      <c r="Z36" s="86">
        <f>'Jan-Nov'!BK34</f>
        <v>0</v>
      </c>
      <c r="AA36" s="86">
        <f>'Jan-Nov'!BM34</f>
        <v>0</v>
      </c>
      <c r="AB36" s="87">
        <f>'Jan-Nov'!BR34</f>
        <v>0</v>
      </c>
      <c r="AC36" s="87">
        <f>'Jan-Nov'!BT34</f>
        <v>0</v>
      </c>
      <c r="AD36" s="85">
        <f>'Jan-Nov'!BY34</f>
        <v>0</v>
      </c>
      <c r="AE36" s="88">
        <f>'Jan-Nov'!CA34</f>
        <v>0</v>
      </c>
      <c r="AF36" s="89">
        <f>'Jan-Nov'!CF34</f>
        <v>0</v>
      </c>
      <c r="AG36" s="87">
        <f>'Jan-Nov'!CH34</f>
        <v>0</v>
      </c>
      <c r="AH36" s="85">
        <f>'Jan-Nov'!CM34</f>
        <v>0</v>
      </c>
      <c r="AI36" s="126">
        <f t="shared" si="114"/>
        <v>0</v>
      </c>
      <c r="AJ36" s="90">
        <f t="shared" si="181"/>
        <v>0</v>
      </c>
      <c r="AK36" s="123"/>
      <c r="AL36" s="126">
        <f>'Data Gaji'!LG34</f>
        <v>0</v>
      </c>
      <c r="AM36" s="128">
        <f>'Jan-Nov'!CQ34</f>
        <v>0</v>
      </c>
      <c r="AN36" s="125">
        <f t="shared" si="115"/>
        <v>0</v>
      </c>
      <c r="AO36" s="77">
        <f t="shared" si="116"/>
        <v>0</v>
      </c>
      <c r="AP36" s="77">
        <f>'Data Gaji'!LO34</f>
        <v>0</v>
      </c>
      <c r="AQ36" s="77">
        <f>'Data Gaji'!LF34*12</f>
        <v>0</v>
      </c>
      <c r="AR36" s="77"/>
      <c r="AS36" s="77"/>
      <c r="AT36" s="75">
        <f t="shared" si="117"/>
        <v>0</v>
      </c>
      <c r="AU36" s="82"/>
      <c r="AV36" s="84">
        <f t="shared" si="118"/>
        <v>0</v>
      </c>
      <c r="AW36" s="76">
        <f t="shared" si="119"/>
        <v>0</v>
      </c>
      <c r="AX36" s="77">
        <f t="shared" si="120"/>
        <v>0</v>
      </c>
      <c r="AY36" s="77">
        <f t="shared" si="121"/>
        <v>0</v>
      </c>
      <c r="AZ36" s="77">
        <f t="shared" si="122"/>
        <v>0</v>
      </c>
      <c r="BA36" s="77">
        <f t="shared" si="123"/>
        <v>0</v>
      </c>
      <c r="BB36" s="74">
        <f t="shared" si="124"/>
        <v>0</v>
      </c>
      <c r="BC36" s="78">
        <f t="shared" si="125"/>
        <v>0</v>
      </c>
      <c r="BD36" s="79">
        <f t="shared" si="1"/>
        <v>54000000</v>
      </c>
      <c r="BE36" s="80">
        <f t="shared" si="13"/>
        <v>0</v>
      </c>
      <c r="BF36" s="81">
        <f t="shared" si="14"/>
        <v>0</v>
      </c>
      <c r="BG36" s="157">
        <f t="shared" si="15"/>
        <v>0</v>
      </c>
      <c r="BH36" s="148">
        <f t="shared" si="16"/>
        <v>0</v>
      </c>
      <c r="BI36" s="83">
        <f t="shared" si="17"/>
        <v>0</v>
      </c>
      <c r="BK36" s="159">
        <f t="shared" si="18"/>
        <v>0</v>
      </c>
      <c r="BL36" s="146">
        <f t="shared" si="19"/>
        <v>0</v>
      </c>
      <c r="BM36" s="145"/>
      <c r="BN36" s="160">
        <f t="shared" si="20"/>
        <v>0</v>
      </c>
      <c r="BP36" s="262">
        <f t="shared" si="2"/>
        <v>12</v>
      </c>
      <c r="BQ36" s="250">
        <f t="shared" si="21"/>
        <v>2024</v>
      </c>
      <c r="BR36" s="250">
        <f t="shared" si="3"/>
        <v>0</v>
      </c>
      <c r="BS36" s="250">
        <f t="shared" si="22"/>
        <v>0</v>
      </c>
      <c r="BT36" s="250">
        <f t="shared" si="23"/>
        <v>0</v>
      </c>
      <c r="BU36" s="250" t="s">
        <v>154</v>
      </c>
      <c r="BV36" s="263">
        <f t="shared" si="182"/>
        <v>0</v>
      </c>
      <c r="BW36" s="264">
        <f t="shared" si="183"/>
        <v>0</v>
      </c>
      <c r="BX36" s="250"/>
      <c r="BY36" s="247"/>
      <c r="BZ36" s="269"/>
      <c r="CA36" s="269"/>
      <c r="CB36" s="269"/>
      <c r="CC36" s="269"/>
      <c r="CD36" s="269"/>
      <c r="CE36" s="269"/>
      <c r="CF36" s="265">
        <f t="shared" si="26"/>
        <v>0</v>
      </c>
      <c r="CG36" s="266">
        <f t="shared" si="54"/>
        <v>0</v>
      </c>
      <c r="CH36" s="265">
        <f t="shared" si="27"/>
        <v>0</v>
      </c>
      <c r="CI36" s="266">
        <f t="shared" si="28"/>
        <v>0</v>
      </c>
      <c r="CJ36" s="265">
        <f t="shared" si="29"/>
        <v>0</v>
      </c>
      <c r="CK36" s="266">
        <f t="shared" si="30"/>
        <v>0</v>
      </c>
      <c r="CL36" s="265">
        <f t="shared" si="31"/>
        <v>0</v>
      </c>
      <c r="CM36" s="265">
        <f t="shared" si="32"/>
        <v>0</v>
      </c>
      <c r="CN36" s="265" t="s">
        <v>189</v>
      </c>
      <c r="CO36" s="265"/>
      <c r="CP36" s="265" t="s">
        <v>211</v>
      </c>
      <c r="CQ36" s="267">
        <f t="shared" si="33"/>
        <v>0</v>
      </c>
      <c r="CR36" s="267">
        <f t="shared" si="34"/>
        <v>0</v>
      </c>
      <c r="CS36" s="267">
        <f t="shared" si="35"/>
        <v>0</v>
      </c>
      <c r="CT36" s="267">
        <f t="shared" si="36"/>
        <v>0</v>
      </c>
      <c r="CU36" s="267">
        <f t="shared" si="37"/>
        <v>0</v>
      </c>
      <c r="CV36" s="267">
        <f t="shared" si="38"/>
        <v>0</v>
      </c>
      <c r="CW36" s="267">
        <f t="shared" si="39"/>
        <v>0</v>
      </c>
      <c r="CX36" s="267">
        <f t="shared" si="40"/>
        <v>0</v>
      </c>
      <c r="CY36" s="267">
        <f t="shared" si="41"/>
        <v>0</v>
      </c>
      <c r="CZ36" s="267">
        <f t="shared" si="42"/>
        <v>0</v>
      </c>
      <c r="DA36" s="267">
        <f t="shared" si="43"/>
        <v>0</v>
      </c>
      <c r="DB36" s="267">
        <f t="shared" si="44"/>
        <v>0</v>
      </c>
      <c r="DC36" s="265">
        <v>16</v>
      </c>
      <c r="DD36" s="267">
        <f t="shared" si="45"/>
        <v>-16</v>
      </c>
      <c r="DE36" s="267">
        <f t="shared" si="46"/>
        <v>54000000</v>
      </c>
      <c r="DF36" s="267">
        <f t="shared" si="47"/>
        <v>0</v>
      </c>
      <c r="DG36" s="267">
        <f t="shared" si="48"/>
        <v>0</v>
      </c>
      <c r="DH36" s="265">
        <v>16</v>
      </c>
      <c r="DI36" s="267">
        <f t="shared" si="49"/>
        <v>0</v>
      </c>
      <c r="DJ36" s="267">
        <f t="shared" si="50"/>
        <v>0</v>
      </c>
      <c r="DK36" s="269"/>
      <c r="DL36" s="265">
        <f t="shared" si="53"/>
        <v>0</v>
      </c>
      <c r="DM36" s="265">
        <f t="shared" si="53"/>
        <v>0</v>
      </c>
      <c r="DN36" s="269"/>
    </row>
    <row r="37" spans="1:118" hidden="1" x14ac:dyDescent="0.35">
      <c r="A37" s="68">
        <v>30</v>
      </c>
      <c r="B37" s="69"/>
      <c r="C37" s="70"/>
      <c r="D37" s="70"/>
      <c r="E37" s="71"/>
      <c r="F37" s="55"/>
      <c r="G37" s="56"/>
      <c r="H37" s="57"/>
      <c r="I37" s="58"/>
      <c r="J37" s="54"/>
      <c r="K37" s="59"/>
      <c r="L37" s="180"/>
      <c r="M37" s="182">
        <f>'Jan-Nov'!S36</f>
        <v>0</v>
      </c>
      <c r="N37" s="86">
        <f>'Jan-Nov'!U36</f>
        <v>0</v>
      </c>
      <c r="O37" s="87">
        <f>'Jan-Nov'!Z35</f>
        <v>0</v>
      </c>
      <c r="P37" s="87">
        <f>'Jan-Nov'!AB35</f>
        <v>0</v>
      </c>
      <c r="Q37" s="85">
        <f>'Jan-Nov'!AD35</f>
        <v>0</v>
      </c>
      <c r="R37" s="88">
        <f>'Jan-Nov'!AI35</f>
        <v>0</v>
      </c>
      <c r="S37" s="89">
        <f>'Jan-Nov'!AK35</f>
        <v>0</v>
      </c>
      <c r="T37" s="87">
        <f>'Jan-Nov'!AP35</f>
        <v>0</v>
      </c>
      <c r="U37" s="87">
        <f>'Jan-Nov'!AR35</f>
        <v>0</v>
      </c>
      <c r="V37" s="89">
        <f>'Jan-Nov'!AW35</f>
        <v>0</v>
      </c>
      <c r="W37" s="89">
        <f>'Jan-Nov'!AY35</f>
        <v>0</v>
      </c>
      <c r="X37" s="89">
        <f>'Jan-Nov'!BD35</f>
        <v>0</v>
      </c>
      <c r="Y37" s="89"/>
      <c r="Z37" s="86"/>
      <c r="AA37" s="86">
        <f>'Jan-Nov'!BM35</f>
        <v>0</v>
      </c>
      <c r="AB37" s="87">
        <f>'Jan-Nov'!BR35</f>
        <v>0</v>
      </c>
      <c r="AC37" s="87">
        <f>'Jan-Nov'!BT35</f>
        <v>0</v>
      </c>
      <c r="AD37" s="85">
        <f>'Jan-Nov'!BY35</f>
        <v>0</v>
      </c>
      <c r="AE37" s="88">
        <f>'Jan-Nov'!CA35</f>
        <v>0</v>
      </c>
      <c r="AF37" s="89">
        <f>'Jan-Nov'!CF35</f>
        <v>0</v>
      </c>
      <c r="AG37" s="87">
        <f>'Jan-Nov'!CH35</f>
        <v>0</v>
      </c>
      <c r="AH37" s="85">
        <f>'Jan-Nov'!CM35</f>
        <v>0</v>
      </c>
      <c r="AI37" s="126">
        <f t="shared" ref="AI37" si="184">M37+O37+Q37+S37+U37+W37+Y37+AA37+AC37+AE37+AG37</f>
        <v>0</v>
      </c>
      <c r="AJ37" s="90">
        <f t="shared" ref="AJ37" si="185">N37+P37+R37+T37+V37+X37+Z37+AB37+AD37+AF37+AH37</f>
        <v>0</v>
      </c>
      <c r="AK37" s="123"/>
      <c r="AL37" s="126">
        <f>'Data Gaji'!LG44</f>
        <v>0</v>
      </c>
      <c r="AM37" s="128">
        <f>'Jan-Nov'!CQ35</f>
        <v>0</v>
      </c>
      <c r="AN37" s="125">
        <f t="shared" ref="AN37" si="186">AL37*12</f>
        <v>0</v>
      </c>
      <c r="AO37" s="77">
        <f t="shared" ref="AO37" si="187">BM37</f>
        <v>0</v>
      </c>
      <c r="AP37" s="77">
        <f>'Data Gaji'!LO44</f>
        <v>0</v>
      </c>
      <c r="AQ37" s="77">
        <f>'Data Gaji'!LF44*12</f>
        <v>0</v>
      </c>
      <c r="AR37" s="77"/>
      <c r="AS37" s="77"/>
      <c r="AT37" s="75">
        <f t="shared" ref="AT37" si="188">SUM(AN37:AS37)</f>
        <v>0</v>
      </c>
      <c r="AU37" s="82"/>
      <c r="AV37" s="84">
        <f t="shared" ref="AV37" si="189">AT37+AU37</f>
        <v>0</v>
      </c>
      <c r="AW37" s="76">
        <f t="shared" ref="AW37" si="190">IF(AT37*5%&gt;6000000,6000000,AT37*5%)</f>
        <v>0</v>
      </c>
      <c r="AX37" s="77">
        <f t="shared" ref="AX37" si="191">IF((AW37+AU37*5%)&gt;=6000000,0,AU37*5%)</f>
        <v>0</v>
      </c>
      <c r="AY37" s="77">
        <f t="shared" ref="AY37" si="192">1%*AN37</f>
        <v>0</v>
      </c>
      <c r="AZ37" s="77">
        <f t="shared" ref="AZ37" si="193">2%*AN37</f>
        <v>0</v>
      </c>
      <c r="BA37" s="77">
        <f t="shared" ref="BA37" si="194">SUM(AY37:AZ37)</f>
        <v>0</v>
      </c>
      <c r="BB37" s="74">
        <f t="shared" ref="BB37" si="195">AW37+AX37+BA37</f>
        <v>0</v>
      </c>
      <c r="BC37" s="78">
        <f t="shared" ref="BC37" si="196">AV37-BB37</f>
        <v>0</v>
      </c>
      <c r="BD37" s="79">
        <f t="shared" ref="BD37" si="197">IF(L37="K0",58500000,IF(L37="K1",63000000,IF(L37="K2",67500000,IF(L37="K3",72000000,IF(L37="TK0",54000000,IF(L37="TK1",58500000,IF(L37="TK2",63000000,IF(L37="TK3",67500000,54000000))))))))</f>
        <v>54000000</v>
      </c>
      <c r="BE37" s="80">
        <f t="shared" ref="BE37" si="198">IF(BC37&lt;BD37,0,+BC37-BD37)</f>
        <v>0</v>
      </c>
      <c r="BF37" s="81">
        <f t="shared" ref="BF37" si="199">INT((BE37)/1000)*1000</f>
        <v>0</v>
      </c>
      <c r="BG37" s="157">
        <f t="shared" ref="BG37" si="200">IF(BF37&lt;=60000000,BF37*5%,IF(BF37&lt;=250000000,(BF37-50000000)*15%+3000000,IF(BF37&lt;=500000000,(BF37-250000000)*25%+31500000,IF(BF37&gt;500000000,(BF37-500000000)*30%+94000000,IF(BF37&gt;5000000000,(BF37-5000000000)*35%+1444000000)))))</f>
        <v>0</v>
      </c>
      <c r="BH37" s="148">
        <f t="shared" ref="BH37" si="201">AJ37</f>
        <v>0</v>
      </c>
      <c r="BI37" s="83">
        <f t="shared" ref="BI37" si="202">ROUND(BG37-BH37,0)</f>
        <v>0</v>
      </c>
      <c r="BK37" s="159">
        <f t="shared" ref="BK37" si="203">INT((+BE37-AO37)/1000)*1000</f>
        <v>0</v>
      </c>
      <c r="BL37" s="146">
        <f t="shared" ref="BL37" si="204">IF(BK37&lt;57000000,BK37*5/95,IF(BK37&gt;406000000,((+BK37-406000000)*30/70)+94000000,IF(218500000&lt;BK37&lt;=406000000,((BK37-218500000)*25/75)+31500000,IF(218500000=BK37&gt;57000000,((BK37-57000000)*15/85)+3000000))))</f>
        <v>0</v>
      </c>
      <c r="BM37" s="145"/>
      <c r="BN37" s="160">
        <f t="shared" ref="BN37" si="205">BG37-BM37</f>
        <v>0</v>
      </c>
      <c r="BP37" s="262">
        <f t="shared" si="2"/>
        <v>12</v>
      </c>
      <c r="BQ37" s="250">
        <f t="shared" si="21"/>
        <v>2024</v>
      </c>
      <c r="BR37" s="250">
        <f t="shared" si="3"/>
        <v>0</v>
      </c>
      <c r="BS37" s="250">
        <f t="shared" ref="BS37" si="206">F37</f>
        <v>0</v>
      </c>
      <c r="BT37" s="250">
        <f t="shared" ref="BT37" si="207">H37</f>
        <v>0</v>
      </c>
      <c r="BU37" s="250" t="s">
        <v>155</v>
      </c>
      <c r="BV37" s="263">
        <f t="shared" ref="BV37" si="208">ROUND(AL37,0)</f>
        <v>0</v>
      </c>
      <c r="BW37" s="264">
        <f t="shared" ref="BW37" si="209">ROUND(BI37,0)</f>
        <v>0</v>
      </c>
      <c r="BX37" s="250"/>
      <c r="BY37" s="247"/>
      <c r="BZ37" s="269"/>
      <c r="CA37" s="269"/>
      <c r="CB37" s="269"/>
      <c r="CC37" s="269"/>
      <c r="CD37" s="269"/>
      <c r="CE37" s="269"/>
      <c r="CF37" s="265">
        <f t="shared" ref="CF37" si="210">F37</f>
        <v>0</v>
      </c>
      <c r="CG37" s="266">
        <f t="shared" ref="CG37" si="211">C37</f>
        <v>0</v>
      </c>
      <c r="CH37" s="265">
        <f t="shared" ref="CH37" si="212">H37</f>
        <v>0</v>
      </c>
      <c r="CI37" s="266">
        <f t="shared" ref="CI37" si="213">J37</f>
        <v>0</v>
      </c>
      <c r="CJ37" s="265">
        <f t="shared" ref="CJ37" si="214">I37</f>
        <v>0</v>
      </c>
      <c r="CK37" s="266">
        <f t="shared" ref="CK37" si="215">D37</f>
        <v>0</v>
      </c>
      <c r="CL37" s="265">
        <f t="shared" ref="CL37" si="216">E37</f>
        <v>0</v>
      </c>
      <c r="CM37" s="265">
        <f t="shared" ref="CM37" si="217">K37</f>
        <v>0</v>
      </c>
      <c r="CN37" s="265" t="s">
        <v>189</v>
      </c>
      <c r="CO37" s="265"/>
      <c r="CP37" s="265" t="s">
        <v>212</v>
      </c>
      <c r="CQ37" s="267">
        <f t="shared" ref="CQ37" si="218">ROUND(AN37,0)</f>
        <v>0</v>
      </c>
      <c r="CR37" s="267">
        <f t="shared" ref="CR37" si="219">ROUND(AO37,0)</f>
        <v>0</v>
      </c>
      <c r="CS37" s="267">
        <f t="shared" ref="CS37" si="220">ROUND(AP37,0)</f>
        <v>0</v>
      </c>
      <c r="CT37" s="267">
        <f t="shared" ref="CT37" si="221">ROUND(AR37,0)</f>
        <v>0</v>
      </c>
      <c r="CU37" s="267">
        <f t="shared" ref="CU37" si="222">ROUND(AQ37,0)</f>
        <v>0</v>
      </c>
      <c r="CV37" s="267">
        <f t="shared" ref="CV37" si="223">ROUND(AS37,0)</f>
        <v>0</v>
      </c>
      <c r="CW37" s="267">
        <f t="shared" ref="CW37" si="224">ROUND(AU37,0)</f>
        <v>0</v>
      </c>
      <c r="CX37" s="267">
        <f t="shared" ref="CX37" si="225">ROUND(AV37,0)</f>
        <v>0</v>
      </c>
      <c r="CY37" s="267">
        <f t="shared" ref="CY37" si="226">ROUND(AW37,0)</f>
        <v>0</v>
      </c>
      <c r="CZ37" s="267">
        <f t="shared" ref="CZ37" si="227">ROUND(BA37,0)</f>
        <v>0</v>
      </c>
      <c r="DA37" s="267">
        <f t="shared" ref="DA37" si="228">ROUND(BB37,0)</f>
        <v>0</v>
      </c>
      <c r="DB37" s="267">
        <f t="shared" ref="DB37" si="229">ROUND(BC37,0)</f>
        <v>0</v>
      </c>
      <c r="DC37" s="265">
        <v>17</v>
      </c>
      <c r="DD37" s="267">
        <f t="shared" ref="DD37" si="230">ROUND(DB37-DC37,0)</f>
        <v>-17</v>
      </c>
      <c r="DE37" s="267">
        <f t="shared" ref="DE37" si="231">ROUND(BD37,0)</f>
        <v>54000000</v>
      </c>
      <c r="DF37" s="267">
        <f t="shared" ref="DF37" si="232">ROUND(BE37,0)</f>
        <v>0</v>
      </c>
      <c r="DG37" s="267">
        <f t="shared" ref="DG37" si="233">ROUND(BG37,0)</f>
        <v>0</v>
      </c>
      <c r="DH37" s="265">
        <v>17</v>
      </c>
      <c r="DI37" s="267">
        <f t="shared" ref="DI37" si="234">ROUND(BG37,0)</f>
        <v>0</v>
      </c>
      <c r="DJ37" s="267">
        <f t="shared" ref="DJ37" si="235">ROUND(DI37,0)</f>
        <v>0</v>
      </c>
      <c r="DK37" s="269"/>
      <c r="DL37" s="265">
        <f>DL35</f>
        <v>0</v>
      </c>
      <c r="DM37" s="265">
        <f>DM35</f>
        <v>0</v>
      </c>
      <c r="DN37" s="269"/>
    </row>
    <row r="38" spans="1:118" ht="15" hidden="1" thickBot="1" x14ac:dyDescent="0.4">
      <c r="A38" s="68">
        <v>31</v>
      </c>
      <c r="B38" s="69"/>
      <c r="C38" s="70"/>
      <c r="D38" s="70"/>
      <c r="E38" s="71"/>
      <c r="F38" s="55"/>
      <c r="G38" s="56"/>
      <c r="H38" s="57"/>
      <c r="I38" s="58"/>
      <c r="J38" s="54"/>
      <c r="K38" s="59"/>
      <c r="L38" s="180"/>
      <c r="M38" s="182">
        <f>'Jan-Nov'!S37</f>
        <v>0</v>
      </c>
      <c r="N38" s="86">
        <f>'Jan-Nov'!U37</f>
        <v>0</v>
      </c>
      <c r="O38" s="87">
        <f>'Jan-Nov'!Z45</f>
        <v>0</v>
      </c>
      <c r="P38" s="87">
        <f>'Jan-Nov'!AB45</f>
        <v>0</v>
      </c>
      <c r="Q38" s="85">
        <f>'Jan-Nov'!AD45</f>
        <v>0</v>
      </c>
      <c r="R38" s="88">
        <f>'Jan-Nov'!AI45</f>
        <v>0</v>
      </c>
      <c r="S38" s="89">
        <f>'Jan-Nov'!AK45</f>
        <v>0</v>
      </c>
      <c r="T38" s="87">
        <f>'Jan-Nov'!AP45</f>
        <v>0</v>
      </c>
      <c r="U38" s="87">
        <f>'Jan-Nov'!AR45</f>
        <v>0</v>
      </c>
      <c r="V38" s="89">
        <f>'Jan-Nov'!AW45</f>
        <v>0</v>
      </c>
      <c r="W38" s="89">
        <f>'Jan-Nov'!AY45</f>
        <v>0</v>
      </c>
      <c r="X38" s="89">
        <f>'Jan-Nov'!BD45</f>
        <v>0</v>
      </c>
      <c r="Y38" s="89"/>
      <c r="Z38" s="86"/>
      <c r="AA38" s="86">
        <f>'Jan-Nov'!BM45</f>
        <v>0</v>
      </c>
      <c r="AB38" s="87">
        <f>'Jan-Nov'!BR45</f>
        <v>0</v>
      </c>
      <c r="AC38" s="87">
        <f>'Jan-Nov'!BT45</f>
        <v>0</v>
      </c>
      <c r="AD38" s="85">
        <f>'Jan-Nov'!BY45</f>
        <v>0</v>
      </c>
      <c r="AE38" s="88">
        <f>'Jan-Nov'!CA45</f>
        <v>0</v>
      </c>
      <c r="AF38" s="89">
        <f>'Jan-Nov'!CF45</f>
        <v>0</v>
      </c>
      <c r="AG38" s="87">
        <f>'Jan-Nov'!CH45</f>
        <v>0</v>
      </c>
      <c r="AH38" s="85">
        <f>'Jan-Nov'!CM45</f>
        <v>0</v>
      </c>
      <c r="AI38" s="126">
        <f t="shared" si="114"/>
        <v>0</v>
      </c>
      <c r="AJ38" s="90">
        <f t="shared" si="181"/>
        <v>0</v>
      </c>
      <c r="AK38" s="123"/>
      <c r="AL38" s="126">
        <f>'Data Gaji'!LG45</f>
        <v>0</v>
      </c>
      <c r="AM38" s="128">
        <f>'Jan-Nov'!CQ45</f>
        <v>0</v>
      </c>
      <c r="AN38" s="125">
        <f t="shared" si="115"/>
        <v>0</v>
      </c>
      <c r="AO38" s="77">
        <f t="shared" si="116"/>
        <v>0</v>
      </c>
      <c r="AP38" s="77">
        <f>'Data Gaji'!LO45</f>
        <v>0</v>
      </c>
      <c r="AQ38" s="77">
        <f>'Data Gaji'!LF45*12</f>
        <v>0</v>
      </c>
      <c r="AR38" s="77"/>
      <c r="AS38" s="77"/>
      <c r="AT38" s="75">
        <f t="shared" si="117"/>
        <v>0</v>
      </c>
      <c r="AU38" s="82"/>
      <c r="AV38" s="84">
        <f t="shared" si="118"/>
        <v>0</v>
      </c>
      <c r="AW38" s="76">
        <f t="shared" si="119"/>
        <v>0</v>
      </c>
      <c r="AX38" s="77">
        <f t="shared" si="120"/>
        <v>0</v>
      </c>
      <c r="AY38" s="77">
        <f t="shared" si="121"/>
        <v>0</v>
      </c>
      <c r="AZ38" s="77">
        <f t="shared" si="122"/>
        <v>0</v>
      </c>
      <c r="BA38" s="77">
        <f t="shared" si="123"/>
        <v>0</v>
      </c>
      <c r="BB38" s="74">
        <f t="shared" si="124"/>
        <v>0</v>
      </c>
      <c r="BC38" s="78">
        <f t="shared" si="125"/>
        <v>0</v>
      </c>
      <c r="BD38" s="79">
        <f t="shared" si="1"/>
        <v>54000000</v>
      </c>
      <c r="BE38" s="80">
        <f t="shared" si="13"/>
        <v>0</v>
      </c>
      <c r="BF38" s="81">
        <f t="shared" si="14"/>
        <v>0</v>
      </c>
      <c r="BG38" s="157">
        <f t="shared" si="15"/>
        <v>0</v>
      </c>
      <c r="BH38" s="148">
        <f t="shared" si="16"/>
        <v>0</v>
      </c>
      <c r="BI38" s="83">
        <f t="shared" si="17"/>
        <v>0</v>
      </c>
      <c r="BK38" s="159">
        <f t="shared" si="18"/>
        <v>0</v>
      </c>
      <c r="BL38" s="146">
        <f t="shared" si="19"/>
        <v>0</v>
      </c>
      <c r="BM38" s="145"/>
      <c r="BN38" s="160">
        <f t="shared" si="20"/>
        <v>0</v>
      </c>
      <c r="BP38" s="262">
        <f t="shared" si="2"/>
        <v>12</v>
      </c>
      <c r="BQ38" s="250">
        <f t="shared" si="21"/>
        <v>2024</v>
      </c>
      <c r="BR38" s="250">
        <f t="shared" si="3"/>
        <v>0</v>
      </c>
      <c r="BS38" s="250">
        <f t="shared" si="22"/>
        <v>0</v>
      </c>
      <c r="BT38" s="250">
        <f t="shared" si="23"/>
        <v>0</v>
      </c>
      <c r="BU38" s="250" t="s">
        <v>155</v>
      </c>
      <c r="BV38" s="263">
        <f t="shared" si="182"/>
        <v>0</v>
      </c>
      <c r="BW38" s="264">
        <f t="shared" si="183"/>
        <v>0</v>
      </c>
      <c r="BX38" s="250"/>
      <c r="BY38" s="247"/>
      <c r="BZ38" s="269"/>
      <c r="CA38" s="269"/>
      <c r="CB38" s="269"/>
      <c r="CC38" s="269"/>
      <c r="CD38" s="269"/>
      <c r="CE38" s="269"/>
      <c r="CF38" s="265">
        <f t="shared" si="26"/>
        <v>0</v>
      </c>
      <c r="CG38" s="266">
        <f t="shared" si="54"/>
        <v>0</v>
      </c>
      <c r="CH38" s="265">
        <f t="shared" si="27"/>
        <v>0</v>
      </c>
      <c r="CI38" s="266">
        <f t="shared" si="28"/>
        <v>0</v>
      </c>
      <c r="CJ38" s="265">
        <f t="shared" si="29"/>
        <v>0</v>
      </c>
      <c r="CK38" s="266">
        <f t="shared" si="30"/>
        <v>0</v>
      </c>
      <c r="CL38" s="265">
        <f t="shared" si="31"/>
        <v>0</v>
      </c>
      <c r="CM38" s="265">
        <f t="shared" si="32"/>
        <v>0</v>
      </c>
      <c r="CN38" s="265" t="s">
        <v>189</v>
      </c>
      <c r="CO38" s="265"/>
      <c r="CP38" s="265" t="s">
        <v>212</v>
      </c>
      <c r="CQ38" s="267">
        <f t="shared" si="33"/>
        <v>0</v>
      </c>
      <c r="CR38" s="267">
        <f t="shared" si="34"/>
        <v>0</v>
      </c>
      <c r="CS38" s="267">
        <f t="shared" si="35"/>
        <v>0</v>
      </c>
      <c r="CT38" s="267">
        <f t="shared" si="36"/>
        <v>0</v>
      </c>
      <c r="CU38" s="267">
        <f t="shared" si="37"/>
        <v>0</v>
      </c>
      <c r="CV38" s="267">
        <f t="shared" si="38"/>
        <v>0</v>
      </c>
      <c r="CW38" s="267">
        <f t="shared" si="39"/>
        <v>0</v>
      </c>
      <c r="CX38" s="267">
        <f t="shared" si="40"/>
        <v>0</v>
      </c>
      <c r="CY38" s="267">
        <f t="shared" si="41"/>
        <v>0</v>
      </c>
      <c r="CZ38" s="267">
        <f t="shared" si="42"/>
        <v>0</v>
      </c>
      <c r="DA38" s="267">
        <f t="shared" si="43"/>
        <v>0</v>
      </c>
      <c r="DB38" s="267">
        <f t="shared" si="44"/>
        <v>0</v>
      </c>
      <c r="DC38" s="265">
        <v>17</v>
      </c>
      <c r="DD38" s="267">
        <f t="shared" si="45"/>
        <v>-17</v>
      </c>
      <c r="DE38" s="267">
        <f t="shared" si="46"/>
        <v>54000000</v>
      </c>
      <c r="DF38" s="267">
        <f t="shared" si="47"/>
        <v>0</v>
      </c>
      <c r="DG38" s="267">
        <f t="shared" si="48"/>
        <v>0</v>
      </c>
      <c r="DH38" s="265">
        <v>17</v>
      </c>
      <c r="DI38" s="267">
        <f t="shared" si="49"/>
        <v>0</v>
      </c>
      <c r="DJ38" s="267">
        <f t="shared" si="50"/>
        <v>0</v>
      </c>
      <c r="DK38" s="269"/>
      <c r="DL38" s="265">
        <f>DL36</f>
        <v>0</v>
      </c>
      <c r="DM38" s="265">
        <f>DM36</f>
        <v>0</v>
      </c>
      <c r="DN38" s="269"/>
    </row>
    <row r="39" spans="1:118" s="112" customFormat="1" ht="15.5" thickTop="1" thickBot="1" x14ac:dyDescent="0.4">
      <c r="A39" s="100"/>
      <c r="B39" s="101"/>
      <c r="C39" s="102"/>
      <c r="D39" s="102"/>
      <c r="E39" s="103"/>
      <c r="F39" s="103"/>
      <c r="G39" s="104"/>
      <c r="H39" s="105"/>
      <c r="I39" s="106"/>
      <c r="J39" s="102"/>
      <c r="K39" s="107"/>
      <c r="L39" s="240"/>
      <c r="M39" s="127">
        <f>SUM(M8:M38)</f>
        <v>0</v>
      </c>
      <c r="N39" s="91">
        <f t="shared" ref="N39:AJ39" si="236">SUM(N8:N38)</f>
        <v>0</v>
      </c>
      <c r="O39" s="91">
        <f t="shared" si="236"/>
        <v>0</v>
      </c>
      <c r="P39" s="91">
        <f t="shared" si="236"/>
        <v>0</v>
      </c>
      <c r="Q39" s="91">
        <f t="shared" si="236"/>
        <v>0</v>
      </c>
      <c r="R39" s="91">
        <f t="shared" si="236"/>
        <v>0</v>
      </c>
      <c r="S39" s="91">
        <f t="shared" si="236"/>
        <v>0</v>
      </c>
      <c r="T39" s="91">
        <f t="shared" si="236"/>
        <v>0</v>
      </c>
      <c r="U39" s="91">
        <f t="shared" si="236"/>
        <v>0</v>
      </c>
      <c r="V39" s="91">
        <f t="shared" si="236"/>
        <v>0</v>
      </c>
      <c r="W39" s="91">
        <f t="shared" si="236"/>
        <v>0</v>
      </c>
      <c r="X39" s="91">
        <f t="shared" si="236"/>
        <v>0</v>
      </c>
      <c r="Y39" s="91">
        <f t="shared" si="236"/>
        <v>0</v>
      </c>
      <c r="Z39" s="91">
        <f t="shared" si="236"/>
        <v>0</v>
      </c>
      <c r="AA39" s="91">
        <f t="shared" si="236"/>
        <v>0</v>
      </c>
      <c r="AB39" s="91">
        <f t="shared" si="236"/>
        <v>0</v>
      </c>
      <c r="AC39" s="91">
        <f t="shared" si="236"/>
        <v>0</v>
      </c>
      <c r="AD39" s="91">
        <f t="shared" si="236"/>
        <v>0</v>
      </c>
      <c r="AE39" s="91">
        <f t="shared" si="236"/>
        <v>0</v>
      </c>
      <c r="AF39" s="91">
        <f t="shared" si="236"/>
        <v>0</v>
      </c>
      <c r="AG39" s="91">
        <f t="shared" si="236"/>
        <v>0</v>
      </c>
      <c r="AH39" s="202">
        <f t="shared" si="236"/>
        <v>0</v>
      </c>
      <c r="AI39" s="127">
        <f t="shared" si="236"/>
        <v>0</v>
      </c>
      <c r="AJ39" s="111">
        <f t="shared" si="236"/>
        <v>0</v>
      </c>
      <c r="AK39" s="124"/>
      <c r="AL39" s="127">
        <f>SUM(AL8:AL38)</f>
        <v>0</v>
      </c>
      <c r="AM39" s="127">
        <f t="shared" ref="AM39" si="237">SUM(AM8:AM38)</f>
        <v>0</v>
      </c>
      <c r="AN39" s="241">
        <f>SUM(AN8:AN38)</f>
        <v>0</v>
      </c>
      <c r="AO39" s="91">
        <f t="shared" ref="AO39:BN39" si="238">SUM(AO8:AO38)</f>
        <v>0</v>
      </c>
      <c r="AP39" s="91">
        <f t="shared" ref="AP39:AR39" si="239">SUM(AP8:AP38)</f>
        <v>0</v>
      </c>
      <c r="AQ39" s="91">
        <f t="shared" si="239"/>
        <v>0</v>
      </c>
      <c r="AR39" s="91">
        <f t="shared" si="239"/>
        <v>0</v>
      </c>
      <c r="AS39" s="91">
        <f t="shared" si="238"/>
        <v>0</v>
      </c>
      <c r="AT39" s="91">
        <f t="shared" si="238"/>
        <v>0</v>
      </c>
      <c r="AU39" s="91">
        <f t="shared" si="238"/>
        <v>0</v>
      </c>
      <c r="AV39" s="91">
        <f t="shared" si="238"/>
        <v>0</v>
      </c>
      <c r="AW39" s="91">
        <f t="shared" si="238"/>
        <v>0</v>
      </c>
      <c r="AX39" s="91">
        <f t="shared" si="238"/>
        <v>0</v>
      </c>
      <c r="AY39" s="91">
        <f t="shared" si="238"/>
        <v>0</v>
      </c>
      <c r="AZ39" s="91">
        <f t="shared" si="238"/>
        <v>0</v>
      </c>
      <c r="BA39" s="91">
        <f t="shared" si="238"/>
        <v>0</v>
      </c>
      <c r="BB39" s="91">
        <f t="shared" si="238"/>
        <v>0</v>
      </c>
      <c r="BC39" s="91">
        <f t="shared" si="238"/>
        <v>0</v>
      </c>
      <c r="BD39" s="91">
        <f t="shared" si="238"/>
        <v>1674000000</v>
      </c>
      <c r="BE39" s="91">
        <f t="shared" si="238"/>
        <v>0</v>
      </c>
      <c r="BF39" s="91">
        <f t="shared" si="238"/>
        <v>0</v>
      </c>
      <c r="BG39" s="91">
        <f t="shared" si="238"/>
        <v>0</v>
      </c>
      <c r="BH39" s="91">
        <f t="shared" si="238"/>
        <v>0</v>
      </c>
      <c r="BI39" s="242">
        <f t="shared" si="238"/>
        <v>0</v>
      </c>
      <c r="BK39" s="127">
        <f t="shared" si="238"/>
        <v>0</v>
      </c>
      <c r="BL39" s="91">
        <f t="shared" si="238"/>
        <v>0</v>
      </c>
      <c r="BM39" s="91">
        <f t="shared" si="238"/>
        <v>0</v>
      </c>
      <c r="BN39" s="111">
        <f t="shared" si="238"/>
        <v>0</v>
      </c>
      <c r="BP39" s="243"/>
      <c r="BQ39" s="243"/>
      <c r="BR39" s="243"/>
      <c r="BS39" s="243"/>
      <c r="BT39" s="243"/>
      <c r="BU39" s="243"/>
      <c r="BV39" s="244">
        <f>SUM(BV11:BV38)</f>
        <v>0</v>
      </c>
      <c r="BW39" s="244">
        <f>SUM(BW11:BW38)</f>
        <v>0</v>
      </c>
      <c r="BX39" s="243"/>
      <c r="BZ39" s="245"/>
      <c r="CA39" s="245"/>
      <c r="CB39" s="245"/>
      <c r="CC39" s="245"/>
      <c r="CD39" s="245"/>
      <c r="CE39" s="245"/>
      <c r="CF39" s="245"/>
      <c r="CG39" s="245"/>
      <c r="CH39" s="245"/>
      <c r="CI39" s="245"/>
      <c r="CJ39" s="245"/>
      <c r="CK39" s="245"/>
      <c r="CL39" s="245"/>
      <c r="CM39" s="245"/>
      <c r="CN39" s="245"/>
      <c r="CO39" s="245"/>
      <c r="CP39" s="245"/>
      <c r="CQ39" s="245"/>
      <c r="CR39" s="245"/>
      <c r="CS39" s="245"/>
      <c r="CT39" s="245"/>
      <c r="CU39" s="245"/>
      <c r="CV39" s="245"/>
      <c r="CW39" s="245"/>
      <c r="CX39" s="245"/>
      <c r="CY39" s="245"/>
      <c r="CZ39" s="245"/>
      <c r="DA39" s="245"/>
      <c r="DB39" s="245"/>
      <c r="DC39" s="245"/>
      <c r="DD39" s="245"/>
      <c r="DE39" s="245"/>
      <c r="DF39" s="245"/>
      <c r="DG39" s="245"/>
      <c r="DH39" s="245"/>
      <c r="DI39" s="245"/>
      <c r="DJ39" s="245"/>
      <c r="DK39" s="245"/>
      <c r="DL39" s="246">
        <f t="shared" si="53"/>
        <v>0</v>
      </c>
      <c r="DM39" s="265">
        <f t="shared" si="53"/>
        <v>0</v>
      </c>
      <c r="DN39" s="245"/>
    </row>
    <row r="40" spans="1:118" ht="15" thickTop="1" x14ac:dyDescent="0.35"/>
    <row r="41" spans="1:118" x14ac:dyDescent="0.35">
      <c r="U41" s="39"/>
      <c r="AH41" s="39"/>
    </row>
  </sheetData>
  <sheetProtection selectLockedCells="1"/>
  <mergeCells count="48">
    <mergeCell ref="BR3:BX5"/>
    <mergeCell ref="BP2:BX2"/>
    <mergeCell ref="BZ2:DN2"/>
    <mergeCell ref="BZ3:DN5"/>
    <mergeCell ref="BD5:BD6"/>
    <mergeCell ref="BE5:BF5"/>
    <mergeCell ref="BG5:BI5"/>
    <mergeCell ref="BK5:BN5"/>
    <mergeCell ref="AI5:AJ5"/>
    <mergeCell ref="AL5:AM5"/>
    <mergeCell ref="AN5:AV5"/>
    <mergeCell ref="AW5:BB5"/>
    <mergeCell ref="BC5:BC6"/>
    <mergeCell ref="M5:N5"/>
    <mergeCell ref="O5:P5"/>
    <mergeCell ref="Q5:R5"/>
    <mergeCell ref="S5:T5"/>
    <mergeCell ref="U5:V5"/>
    <mergeCell ref="D5:E5"/>
    <mergeCell ref="A5:A6"/>
    <mergeCell ref="B5:B6"/>
    <mergeCell ref="C5:C6"/>
    <mergeCell ref="AN4:AV4"/>
    <mergeCell ref="W5:X5"/>
    <mergeCell ref="Y5:Z5"/>
    <mergeCell ref="AA5:AB5"/>
    <mergeCell ref="AC5:AD5"/>
    <mergeCell ref="AE5:AF5"/>
    <mergeCell ref="AG5:AH5"/>
    <mergeCell ref="F5:G6"/>
    <mergeCell ref="H5:H6"/>
    <mergeCell ref="I5:I6"/>
    <mergeCell ref="K5:K6"/>
    <mergeCell ref="L5:L6"/>
    <mergeCell ref="AW4:BB4"/>
    <mergeCell ref="AL4:AM4"/>
    <mergeCell ref="AI4:AJ4"/>
    <mergeCell ref="M4:N4"/>
    <mergeCell ref="O4:P4"/>
    <mergeCell ref="Q4:R4"/>
    <mergeCell ref="S4:T4"/>
    <mergeCell ref="AE4:AF4"/>
    <mergeCell ref="U4:V4"/>
    <mergeCell ref="W4:X4"/>
    <mergeCell ref="Y4:Z4"/>
    <mergeCell ref="AA4:AB4"/>
    <mergeCell ref="AC4:AD4"/>
    <mergeCell ref="AG4:AH4"/>
  </mergeCells>
  <phoneticPr fontId="24" type="noConversion"/>
  <pageMargins left="0.7" right="0.7" top="0.75" bottom="0.75" header="0.3" footer="0.3"/>
  <pageSetup orientation="portrait" horizontalDpi="4294967293" verticalDpi="4294967293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0F1DAF-AFFB-4A89-B111-B134141CCE1B}">
          <x14:formula1>
            <xm:f>'PTKP &amp; TARIF'!$D$4:$D$11</xm:f>
          </x14:formula1>
          <xm:sqref>L8:L38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PTKP &amp; TARIF</vt:lpstr>
      <vt:lpstr>TER</vt:lpstr>
      <vt:lpstr>Data Gaji</vt:lpstr>
      <vt:lpstr>Jan-Nov</vt:lpstr>
      <vt:lpstr>Rekap-Desember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Muhamad Ridwan</cp:lastModifiedBy>
  <cp:lastPrinted>2019-04-04T02:33:34Z</cp:lastPrinted>
  <dcterms:created xsi:type="dcterms:W3CDTF">2017-04-06T06:41:41Z</dcterms:created>
  <dcterms:modified xsi:type="dcterms:W3CDTF">2025-11-29T07:07:57Z</dcterms:modified>
</cp:coreProperties>
</file>